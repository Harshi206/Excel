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PS\Desktop\"/>
    </mc:Choice>
  </mc:AlternateContent>
  <xr:revisionPtr revIDLastSave="0" documentId="13_ncr:1_{EC7341DE-D7AB-4C8B-9379-3991A4B0E0C9}" xr6:coauthVersionLast="47" xr6:coauthVersionMax="47" xr10:uidLastSave="{00000000-0000-0000-0000-000000000000}"/>
  <bookViews>
    <workbookView xWindow="-110" yWindow="-110" windowWidth="19420" windowHeight="10300" tabRatio="100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1" l="1"/>
  <c r="G4" i="20"/>
  <c r="I5" i="19"/>
  <c r="I5" i="17"/>
  <c r="D17" i="6"/>
  <c r="F11" i="6"/>
  <c r="F12" i="6"/>
  <c r="F13" i="6"/>
  <c r="I9" i="4" a="1"/>
  <c r="I9" i="4" s="1"/>
  <c r="H4" i="5"/>
  <c r="G18" i="4"/>
  <c r="G13" i="3"/>
  <c r="E12" i="1"/>
  <c r="F12" i="1"/>
  <c r="D12" i="1"/>
  <c r="G5" i="1"/>
  <c r="G6" i="1"/>
  <c r="G7" i="1"/>
  <c r="G8" i="1"/>
  <c r="G9" i="1"/>
  <c r="G10" i="1"/>
  <c r="G11" i="1"/>
  <c r="G4" i="1"/>
  <c r="N8" i="71"/>
  <c r="D25" i="65" a="1"/>
  <c r="D25" i="65" s="1"/>
  <c r="I20" i="65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I4" i="4" a="1"/>
  <c r="I4" i="4" s="1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4" i="9"/>
  <c r="F11" i="9"/>
  <c r="F12" i="9"/>
  <c r="F8" i="9"/>
  <c r="F6" i="9"/>
  <c r="F10" i="9"/>
  <c r="F5" i="9"/>
  <c r="F9" i="9"/>
  <c r="F7" i="9"/>
  <c r="G12" i="1" l="1"/>
  <c r="I7" i="4"/>
  <c r="G11" i="20"/>
  <c r="D12" i="32"/>
  <c r="I7" i="72"/>
  <c r="F15" i="69"/>
  <c r="G10" i="20"/>
  <c r="I3" i="26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<sst xmlns="http://schemas.openxmlformats.org/spreadsheetml/2006/main" count="3952" uniqueCount="984">
  <si>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</si>
  <si>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</si>
  <si>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</si>
  <si>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</si>
  <si>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</si>
  <si>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</si>
  <si>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</si>
  <si>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</si>
  <si>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</si>
  <si>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</si>
  <si>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</si>
  <si>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</si>
  <si>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</si>
  <si>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</si>
  <si>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</si>
  <si>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</si>
  <si>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</si>
  <si>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</si>
  <si>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</si>
  <si>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</si>
  <si>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</si>
  <si>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</si>
  <si>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</si>
  <si>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</si>
  <si>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</si>
  <si>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</si>
  <si>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</si>
  <si>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</si>
  <si>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</si>
  <si>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</si>
  <si>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</si>
  <si>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</si>
  <si>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</si>
  <si>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</si>
  <si>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</si>
  <si>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</si>
  <si>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</si>
  <si>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</si>
  <si>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</si>
  <si>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</si>
  <si>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</si>
  <si>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</si>
  <si>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</si>
  <si>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</si>
  <si>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</si>
  <si>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</si>
  <si>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</si>
  <si>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</si>
  <si>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</si>
  <si>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</si>
  <si>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</si>
  <si>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</si>
  <si>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</si>
  <si>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</si>
  <si>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</si>
  <si>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</si>
  <si>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</si>
  <si>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</si>
  <si>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</si>
  <si>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</si>
  <si>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</si>
  <si>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</si>
  <si>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</si>
  <si>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</si>
  <si>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</si>
  <si>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</si>
  <si>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</si>
  <si>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</si>
  <si>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</si>
  <si>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</si>
  <si>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</si>
  <si>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</si>
  <si>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</si>
  <si>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</si>
  <si>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</si>
  <si>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</si>
  <si>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</si>
  <si>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</si>
  <si>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</si>
  <si>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</si>
  <si>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</si>
  <si>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</si>
  <si>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</si>
  <si>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</si>
  <si>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</si>
  <si>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</si>
  <si>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</si>
  <si>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</si>
  <si>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</si>
  <si>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</si>
  <si>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</si>
  <si>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</si>
  <si>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</si>
  <si>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</si>
  <si>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</si>
  <si>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</si>
  <si>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</si>
  <si>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</si>
  <si>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</si>
  <si>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</si>
  <si>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</si>
  <si>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</si>
  <si>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</si>
  <si>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</si>
  <si>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</si>
  <si>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</si>
  <si>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</si>
  <si>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</si>
  <si>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</si>
  <si>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</si>
  <si>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</si>
  <si>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</si>
  <si>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</si>
  <si>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</si>
  <si>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</si>
  <si>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</si>
  <si>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</si>
  <si>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</si>
  <si>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</si>
  <si>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</si>
  <si>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</si>
  <si>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</si>
  <si>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</si>
  <si>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</si>
  <si>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</si>
  <si>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</si>
  <si>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</si>
  <si>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</si>
  <si>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</si>
  <si>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</si>
  <si>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</si>
  <si>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</si>
  <si>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</si>
  <si>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</si>
  <si>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</si>
  <si>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</si>
  <si>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</si>
  <si>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</si>
  <si>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</si>
  <si>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</si>
  <si>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</si>
  <si>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</si>
  <si>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</si>
  <si>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</si>
  <si>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</si>
  <si>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</si>
  <si>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</si>
  <si>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</si>
  <si>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</si>
  <si>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</si>
  <si>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</si>
  <si>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</si>
  <si>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</si>
  <si>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</si>
  <si>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</si>
  <si>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</si>
  <si>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</si>
  <si>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</si>
  <si>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</si>
  <si>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</si>
  <si>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</si>
  <si>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</si>
  <si>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</si>
  <si>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</si>
  <si>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</si>
  <si>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</si>
  <si>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</si>
  <si>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</si>
  <si>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</si>
  <si>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</si>
  <si>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</si>
  <si>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</si>
  <si>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</si>
  <si>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</si>
  <si>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</si>
  <si>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</si>
  <si>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</si>
  <si>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</si>
  <si>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</si>
  <si>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</si>
  <si>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</si>
  <si>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</si>
  <si>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</si>
  <si>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</si>
  <si>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</si>
  <si>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</si>
  <si>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</si>
  <si>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</si>
  <si>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</si>
  <si>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</si>
  <si>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</si>
  <si>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</si>
  <si>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</si>
  <si>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</si>
  <si>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</si>
  <si>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</si>
  <si>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</si>
  <si>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</si>
  <si>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</si>
  <si>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</si>
  <si>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</si>
  <si>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</si>
  <si>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</si>
  <si>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</si>
  <si>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</si>
  <si>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</si>
  <si>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</si>
  <si>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</si>
  <si>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</si>
  <si>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</si>
  <si>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</si>
  <si>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</si>
  <si>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</si>
  <si>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</si>
  <si>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</si>
  <si>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</si>
  <si>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</si>
  <si>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</si>
  <si>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</si>
  <si>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</si>
  <si>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</si>
  <si>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</si>
  <si>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</si>
  <si>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</si>
  <si>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</si>
  <si>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</si>
  <si>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</si>
  <si>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</si>
  <si>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</si>
  <si>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</si>
  <si>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</si>
  <si>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</si>
  <si>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</si>
  <si>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</si>
  <si>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</si>
  <si>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</si>
  <si>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</si>
  <si>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</si>
  <si>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</si>
  <si>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</si>
  <si>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</si>
  <si>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</si>
  <si>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</si>
  <si>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</si>
  <si>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</si>
  <si>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</si>
  <si>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</si>
  <si>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</si>
  <si>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</si>
  <si>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</si>
  <si>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</si>
  <si>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</si>
  <si>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</si>
  <si>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</si>
  <si>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</si>
  <si>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</si>
  <si>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</si>
  <si>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</si>
  <si>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</si>
  <si>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</si>
  <si>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</si>
  <si>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</si>
  <si>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</si>
  <si>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</si>
  <si>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</si>
  <si>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</si>
  <si>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</si>
  <si>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</si>
  <si>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</si>
  <si>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</si>
  <si>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</si>
  <si>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</si>
  <si>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</si>
  <si>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</si>
  <si>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</si>
  <si>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</si>
  <si>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</si>
  <si>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</si>
  <si>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</si>
  <si>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</si>
  <si>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</si>
  <si>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</si>
  <si>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</si>
  <si>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</si>
  <si>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</si>
  <si>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</si>
  <si>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</si>
  <si>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</si>
  <si>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</si>
  <si>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</si>
  <si>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</si>
  <si>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</si>
  <si>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</si>
  <si>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</si>
  <si>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</si>
  <si>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</si>
  <si>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</si>
  <si>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</si>
  <si>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</si>
  <si>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</si>
  <si>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</si>
  <si>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</si>
  <si>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</si>
  <si>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</si>
  <si>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</si>
  <si>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</si>
  <si>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</si>
  <si>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</si>
  <si>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</si>
  <si>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</si>
  <si>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</si>
  <si>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</si>
  <si>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</si>
  <si>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</si>
  <si>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</si>
  <si>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</si>
  <si>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</si>
  <si>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</si>
  <si>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</si>
  <si>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</si>
  <si>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</si>
  <si>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</si>
  <si>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</si>
  <si>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</si>
  <si>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</si>
  <si>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</si>
  <si>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</si>
  <si>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</si>
  <si>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</si>
  <si>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</si>
  <si>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</si>
  <si>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</si>
  <si>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</si>
  <si>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</si>
  <si>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</si>
  <si>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</si>
  <si>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</si>
  <si>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</si>
  <si>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</si>
  <si>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</si>
  <si>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</si>
  <si>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</si>
  <si>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</si>
  <si>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</si>
  <si>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</si>
  <si>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</si>
  <si>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</si>
  <si>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</si>
  <si>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</si>
  <si>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</si>
  <si>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</si>
  <si>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</si>
  <si>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</si>
  <si>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</si>
  <si>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</si>
  <si>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</si>
  <si>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</si>
  <si>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</si>
  <si>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</si>
  <si>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</si>
  <si>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</si>
  <si>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</si>
  <si>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</si>
  <si>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</si>
  <si>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</si>
  <si>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</si>
  <si>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</si>
  <si>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</si>
  <si>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</si>
  <si>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</si>
  <si>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</si>
  <si>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</si>
  <si>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</si>
  <si>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</si>
  <si>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</si>
  <si>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</si>
  <si>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</si>
  <si>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</si>
  <si>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</si>
  <si>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</si>
  <si>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</si>
  <si>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</si>
  <si>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</si>
  <si>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</si>
  <si>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</si>
  <si>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</si>
  <si>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</si>
  <si>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</si>
  <si>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</si>
  <si>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</si>
  <si>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</si>
  <si>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</si>
  <si>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</si>
  <si>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</si>
  <si>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</si>
  <si>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</si>
  <si>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</si>
  <si>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</si>
  <si>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</si>
  <si>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</si>
  <si>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</si>
  <si>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</si>
  <si>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</si>
  <si>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</si>
  <si>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</si>
  <si>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</si>
  <si>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</si>
  <si>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</si>
  <si>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</si>
  <si>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</si>
  <si>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</si>
  <si>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</si>
  <si>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</si>
  <si>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</si>
  <si>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</si>
  <si>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</si>
  <si>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</si>
  <si>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</si>
  <si>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</si>
  <si>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</si>
  <si>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</si>
  <si>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</si>
  <si>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</si>
  <si>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</si>
  <si>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</si>
  <si>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</si>
  <si>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</si>
  <si>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</si>
  <si>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</si>
  <si>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</si>
  <si>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</si>
  <si>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</si>
  <si>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</si>
  <si>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</si>
  <si>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</si>
  <si>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</si>
  <si>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</si>
  <si>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</si>
  <si>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</si>
  <si>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</si>
  <si>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</si>
  <si>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</si>
  <si>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</si>
  <si>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</si>
  <si>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</si>
  <si>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</si>
  <si>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</si>
  <si>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</si>
  <si>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</si>
  <si>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</si>
  <si>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</si>
  <si>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</si>
  <si>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</si>
  <si>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</si>
  <si>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</si>
  <si>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</si>
  <si>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</si>
  <si>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</si>
  <si>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</si>
  <si>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</si>
  <si>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</si>
  <si>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</si>
  <si>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</si>
  <si>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</si>
  <si>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</si>
  <si>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</si>
  <si>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</si>
  <si>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</si>
  <si>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</si>
  <si>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</si>
  <si>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</si>
  <si>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</si>
  <si>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</si>
  <si>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</si>
  <si>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</si>
  <si>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</si>
  <si>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</si>
  <si>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</si>
  <si>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</si>
  <si>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</si>
  <si>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</si>
  <si>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</si>
  <si>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</si>
  <si>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</si>
  <si>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</si>
  <si>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</si>
  <si>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</si>
  <si>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</si>
  <si>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</si>
  <si>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</si>
  <si>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</si>
  <si>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</si>
  <si>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</si>
  <si>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</si>
  <si>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</si>
  <si>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</si>
  <si>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</si>
  <si>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</si>
  <si>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</si>
  <si>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</si>
  <si>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</si>
  <si>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</si>
  <si>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</si>
  <si>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</si>
  <si>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</si>
  <si>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</si>
  <si>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</si>
  <si>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</si>
  <si>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</si>
  <si>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</si>
  <si>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</si>
  <si>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</si>
  <si>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</si>
  <si>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</si>
  <si>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</si>
  <si>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</si>
  <si>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</si>
  <si>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</si>
  <si>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</si>
  <si>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</si>
  <si>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</si>
  <si>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</si>
  <si>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</si>
  <si>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</si>
  <si>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</si>
  <si>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</si>
  <si>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</si>
  <si>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</si>
  <si>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</si>
  <si>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</si>
  <si>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</si>
  <si>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</si>
  <si>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</si>
  <si>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</si>
  <si>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</si>
  <si>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</si>
  <si>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</si>
  <si>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</si>
  <si>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</si>
  <si>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</si>
  <si>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</si>
  <si>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</si>
  <si>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</si>
  <si>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</si>
  <si>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</si>
  <si>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</si>
  <si>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</si>
  <si>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</si>
  <si>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</si>
  <si>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</si>
  <si>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</si>
  <si>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</si>
  <si>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</si>
  <si>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</si>
  <si>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</si>
  <si>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</si>
  <si>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</si>
  <si>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</si>
  <si>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</si>
  <si>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</si>
  <si>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</si>
  <si>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</si>
  <si>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</si>
  <si>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</si>
  <si>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</si>
  <si>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</si>
  <si>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</si>
  <si>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</si>
  <si>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</si>
  <si>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</si>
  <si>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</si>
  <si>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</si>
  <si>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</si>
  <si>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</si>
  <si>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</si>
  <si>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</si>
  <si>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</si>
  <si>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</si>
  <si>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</si>
  <si>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</si>
  <si>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</si>
  <si>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</si>
  <si>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</si>
  <si>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</si>
  <si>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</si>
  <si>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</si>
  <si>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</si>
  <si>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</si>
  <si>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</si>
  <si>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</si>
  <si>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</si>
  <si>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</si>
  <si>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</si>
  <si>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</si>
  <si>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</si>
  <si>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</si>
  <si>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</si>
  <si>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</si>
  <si>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</si>
  <si>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</si>
  <si>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</si>
  <si>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</si>
  <si>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</si>
  <si>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</si>
  <si>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</si>
  <si>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</si>
  <si>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</si>
  <si>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</si>
  <si>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</si>
  <si>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</si>
  <si>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</si>
  <si>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</si>
  <si>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</si>
  <si>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</si>
  <si>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</si>
  <si>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</si>
  <si>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</si>
  <si>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</si>
  <si>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</si>
  <si>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</si>
  <si>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</si>
  <si>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</si>
  <si>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</si>
  <si>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</si>
  <si>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</si>
  <si>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</si>
  <si>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</si>
  <si>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</si>
  <si>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</si>
  <si>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</si>
  <si>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</si>
  <si>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</si>
  <si>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</si>
  <si>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</si>
  <si>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</si>
  <si>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</si>
  <si>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</si>
  <si>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</si>
  <si>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</si>
  <si>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</si>
  <si>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</si>
  <si>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</si>
  <si>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</si>
  <si>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</si>
  <si>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</si>
  <si>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</si>
  <si>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</si>
  <si>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</si>
  <si>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</si>
  <si>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</si>
  <si>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</si>
  <si>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</si>
  <si>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</si>
  <si>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</si>
  <si>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</si>
  <si>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</si>
  <si>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</si>
  <si>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</si>
  <si>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</si>
  <si>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</si>
  <si>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</si>
  <si>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</si>
  <si>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</si>
  <si>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</si>
  <si>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</si>
  <si>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</si>
  <si>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</si>
  <si>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</si>
  <si>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</si>
  <si>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</si>
  <si>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</si>
  <si>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</si>
  <si>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</si>
  <si>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</si>
  <si>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</si>
  <si>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</si>
  <si>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</si>
  <si>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</si>
  <si>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</si>
  <si>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</si>
  <si>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</si>
  <si>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</si>
  <si>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</si>
  <si>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</si>
  <si>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</si>
  <si>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</si>
  <si>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</si>
  <si>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</si>
  <si>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</si>
  <si>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</si>
  <si>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</si>
  <si>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</si>
  <si>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</si>
  <si>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</si>
  <si>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</si>
  <si>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</si>
  <si>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</si>
  <si>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</si>
  <si>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</si>
  <si>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</si>
  <si>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</si>
  <si>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</si>
  <si>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</si>
  <si>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</si>
  <si>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</si>
  <si>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</si>
  <si>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</si>
  <si>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</si>
  <si>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</si>
  <si>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</si>
  <si>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</si>
  <si>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</si>
  <si>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</si>
  <si>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</si>
  <si>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</si>
  <si>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</si>
  <si>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</si>
  <si>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</si>
  <si>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</si>
  <si>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</si>
  <si>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</si>
  <si>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</si>
  <si>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</si>
  <si>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</si>
  <si>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</si>
  <si>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</si>
  <si>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</si>
  <si>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</si>
  <si>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</si>
  <si>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</si>
  <si>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</si>
  <si>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</si>
  <si>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</si>
  <si>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</si>
  <si>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</si>
  <si>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</si>
  <si>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</si>
  <si>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</si>
  <si>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</si>
  <si>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</si>
  <si>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</si>
  <si>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</si>
  <si>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</si>
  <si>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</si>
  <si>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</si>
  <si>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</si>
  <si>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</si>
  <si>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</si>
  <si>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</si>
  <si>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</si>
  <si>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</si>
  <si>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</si>
  <si>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</si>
  <si>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</si>
  <si>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</si>
  <si>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</si>
  <si>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</si>
  <si>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</si>
  <si>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</si>
  <si>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</si>
  <si>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</si>
  <si>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</si>
  <si>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</si>
  <si>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</si>
  <si>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</si>
  <si>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</si>
  <si>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</si>
  <si>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</si>
  <si>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</si>
  <si>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</si>
  <si>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</si>
  <si>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</si>
  <si>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</si>
  <si>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</si>
  <si>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</si>
  <si>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</si>
  <si>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</si>
  <si>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</si>
  <si>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</si>
  <si>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</si>
  <si>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</si>
  <si>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</si>
  <si>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</si>
  <si>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</si>
  <si>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</si>
  <si>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</si>
  <si>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</si>
  <si>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</si>
  <si>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</si>
  <si>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</si>
  <si>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</si>
  <si>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</si>
  <si>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</si>
  <si>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</si>
  <si>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</si>
  <si>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</si>
  <si>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</si>
  <si>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</si>
  <si>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</si>
  <si>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</si>
  <si>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</si>
  <si>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</si>
  <si>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</si>
  <si>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</si>
  <si>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</si>
  <si>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</si>
  <si>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</si>
  <si>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</si>
  <si>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</si>
  <si>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</si>
  <si>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</si>
  <si>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</si>
  <si>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</si>
  <si>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</si>
  <si>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</si>
  <si>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</si>
  <si>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</si>
  <si>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</si>
  <si>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</si>
  <si>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</si>
  <si>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</si>
  <si>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</si>
  <si>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</si>
  <si>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</si>
  <si>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</si>
  <si>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</si>
  <si>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</si>
  <si>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</si>
  <si>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</si>
  <si>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</si>
  <si>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</si>
  <si>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</si>
  <si>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</si>
  <si>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</si>
  <si>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</si>
  <si>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</si>
  <si>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</si>
  <si>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</si>
  <si>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</si>
  <si>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</si>
  <si>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</si>
  <si>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</si>
  <si>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</si>
  <si>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</si>
  <si>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</si>
  <si>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</si>
  <si>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</si>
  <si>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</si>
  <si>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</si>
  <si>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</si>
  <si>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</si>
  <si>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</si>
  <si>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</si>
  <si>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</si>
  <si>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</si>
  <si>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</si>
  <si>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</si>
  <si>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</si>
  <si>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</si>
  <si>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</si>
  <si>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</si>
  <si>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</si>
  <si>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</si>
  <si>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</si>
  <si>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</si>
  <si>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</si>
  <si>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</si>
  <si>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</si>
  <si>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</si>
  <si>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</si>
  <si>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</si>
  <si>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</si>
  <si>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</si>
  <si>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</si>
  <si>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</si>
  <si>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</si>
  <si>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</si>
  <si>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</si>
  <si>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</si>
  <si>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</si>
  <si>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</si>
  <si>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</si>
  <si>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</si>
  <si>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</si>
  <si>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</si>
  <si>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</si>
  <si>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</si>
  <si>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</si>
  <si>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</si>
  <si>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</si>
  <si>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</si>
  <si>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</si>
  <si>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</si>
  <si>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</si>
  <si>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</si>
  <si>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</si>
  <si>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</si>
  <si>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</si>
  <si>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</si>
  <si>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</si>
  <si>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</si>
  <si>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</si>
  <si>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</si>
  <si>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</si>
  <si>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</si>
  <si>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</si>
  <si>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</si>
  <si>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</si>
  <si>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</si>
  <si>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</si>
  <si>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</si>
  <si>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</si>
  <si>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</si>
  <si>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</si>
  <si>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</si>
  <si>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</si>
  <si>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</si>
  <si>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</si>
  <si>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</si>
  <si>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</si>
  <si>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</si>
  <si>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</si>
  <si>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</si>
  <si>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</si>
  <si>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</si>
  <si>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</si>
  <si>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</si>
  <si>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</si>
  <si>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</si>
  <si>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</si>
  <si>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</si>
  <si>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</si>
  <si>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</si>
  <si>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</si>
  <si>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</si>
  <si>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</si>
  <si>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</si>
  <si>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</si>
  <si>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</si>
  <si>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</si>
  <si>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</si>
  <si>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</si>
  <si>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</si>
  <si>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</si>
  <si>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</si>
  <si>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</si>
  <si>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</si>
  <si>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</si>
  <si>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</si>
  <si>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</si>
  <si>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</si>
  <si>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</si>
  <si>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</si>
  <si>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</si>
  <si>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</si>
  <si>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</si>
  <si>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</si>
  <si>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</si>
  <si>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</si>
  <si>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</si>
  <si>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</si>
  <si>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</si>
  <si>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</si>
  <si>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</si>
  <si>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</si>
  <si>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</si>
  <si>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</si>
  <si>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</si>
  <si>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</si>
  <si>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</si>
  <si>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</si>
  <si>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</si>
  <si>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</si>
  <si>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</si>
  <si>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</si>
  <si>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</si>
  <si>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</si>
  <si>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</si>
  <si>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</si>
  <si>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Answer</t>
  </si>
  <si>
    <t>sumif</t>
  </si>
  <si>
    <t>particular</t>
  </si>
  <si>
    <t>15  17</t>
  </si>
  <si>
    <t>20    21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</si>
</sst>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&quot;₹&quot;\ #,##0"/>
    <numFmt numFmtId="166" formatCode="&quot;$&quot;#,##0.00"/>
    <numFmt numFmtId="167" formatCode="&quot;£&quot;#,##0.00_);[Red]\(&quot;£&quot;#,##0.00\)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14"/>
      <color rgb="FFFF0000"/>
      <name val="Trebuchet MS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164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9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5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6" fontId="0" fillId="0" borderId="0" xfId="0" applyNumberFormat="1"/>
    <xf numFmtId="165" fontId="0" fillId="0" borderId="6" xfId="0" applyNumberFormat="1" applyBorder="1"/>
    <xf numFmtId="165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6" fontId="22" fillId="14" borderId="2" xfId="1" applyNumberFormat="1" applyFont="1" applyFill="1" applyBorder="1"/>
    <xf numFmtId="0" fontId="0" fillId="15" borderId="2" xfId="0" applyFill="1" applyBorder="1"/>
    <xf numFmtId="166" fontId="0" fillId="15" borderId="2" xfId="0" applyNumberFormat="1" applyFill="1" applyBorder="1"/>
    <xf numFmtId="0" fontId="22" fillId="16" borderId="2" xfId="1" applyFont="1" applyFill="1" applyBorder="1"/>
    <xf numFmtId="166" fontId="22" fillId="16" borderId="2" xfId="1" applyNumberFormat="1" applyFont="1" applyFill="1" applyBorder="1"/>
    <xf numFmtId="0" fontId="0" fillId="14" borderId="2" xfId="0" applyFill="1" applyBorder="1"/>
    <xf numFmtId="166" fontId="0" fillId="14" borderId="2" xfId="0" applyNumberFormat="1" applyFill="1" applyBorder="1"/>
    <xf numFmtId="0" fontId="0" fillId="16" borderId="2" xfId="0" applyFill="1" applyBorder="1"/>
    <xf numFmtId="166" fontId="0" fillId="16" borderId="2" xfId="0" applyNumberFormat="1" applyFill="1" applyBorder="1"/>
    <xf numFmtId="0" fontId="22" fillId="15" borderId="2" xfId="1" applyFont="1" applyFill="1" applyBorder="1"/>
    <xf numFmtId="166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7" fontId="6" fillId="0" borderId="2" xfId="7" applyNumberFormat="1" applyFont="1" applyBorder="1" applyAlignment="1">
      <alignment horizontal="center"/>
    </xf>
    <xf numFmtId="167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7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164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0" fillId="0" borderId="0" xfId="0" pivotButton="1"/>
    <xf numFmtId="164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2" xfId="0" applyFont="1" applyFill="1" applyBorder="1"/>
    <xf numFmtId="0" fontId="12" fillId="5" borderId="2" xfId="0" applyFont="1" applyFill="1" applyBorder="1"/>
    <xf numFmtId="0" fontId="18" fillId="0" borderId="44" xfId="0" applyFont="1" applyBorder="1"/>
    <xf numFmtId="0" fontId="18" fillId="0" borderId="45" xfId="0" applyFont="1" applyBorder="1"/>
    <xf numFmtId="0" fontId="18" fillId="0" borderId="43" xfId="0" applyFon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25" fillId="5" borderId="0" xfId="0" applyFont="1" applyFill="1"/>
    <xf numFmtId="0" fontId="25" fillId="0" borderId="2" xfId="0" applyFont="1" applyBorder="1"/>
    <xf numFmtId="0" fontId="25" fillId="0" borderId="0" xfId="0" applyFont="1"/>
    <xf numFmtId="165" fontId="25" fillId="0" borderId="2" xfId="0" applyNumberFormat="1" applyFont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 * #,##0.00_ ;_ * \-#,##0.00_ ;_ * "-"??_ ;_ @_ 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 * #,##0.00_ ;_ * \-#,##0.00_ ;_ * "-"??_ ;_ @_ 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 * #,##0.00_ ;_ * \-#,##0.00_ ;_ * "-"??_ ;_ @_ 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 * #,##0.00_ ;_ * \-#,##0.00_ ;_ * "-"??_ ;_ @_ 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6-Jan-80</c:v>
                </c:pt>
                <c:pt idx="6">
                  <c:v>21-May-80</c:v>
                </c:pt>
                <c:pt idx="7">
                  <c:v>1-Oct-82</c:v>
                </c:pt>
                <c:pt idx="8">
                  <c:v>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7-Feb-88</c:v>
                </c:pt>
                <c:pt idx="21">
                  <c:v>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1-Nov-88</c:v>
                </c:pt>
                <c:pt idx="36">
                  <c:v>5-Apr-89</c:v>
                </c:pt>
                <c:pt idx="37">
                  <c:v>6-Apr-89</c:v>
                </c:pt>
                <c:pt idx="38">
                  <c:v>7-Apr-89</c:v>
                </c:pt>
                <c:pt idx="39">
                  <c:v>8-Apr-89</c:v>
                </c:pt>
                <c:pt idx="40">
                  <c:v>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4-Sep-89</c:v>
                </c:pt>
                <c:pt idx="44">
                  <c:v>17-Aug-90</c:v>
                </c:pt>
                <c:pt idx="45">
                  <c:v>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5-May-92</c:v>
                </c:pt>
                <c:pt idx="49">
                  <c:v>2-Jul-92</c:v>
                </c:pt>
                <c:pt idx="50">
                  <c:v>1-Oct-92</c:v>
                </c:pt>
                <c:pt idx="51">
                  <c:v>9-May-93</c:v>
                </c:pt>
                <c:pt idx="52">
                  <c:v>3-Sep-94</c:v>
                </c:pt>
                <c:pt idx="53">
                  <c:v>3-Mar-95</c:v>
                </c:pt>
                <c:pt idx="54">
                  <c:v>4-Mar-95</c:v>
                </c:pt>
                <c:pt idx="55">
                  <c:v>5-Mar-95</c:v>
                </c:pt>
                <c:pt idx="56">
                  <c:v>19-Mar-95</c:v>
                </c:pt>
                <c:pt idx="57">
                  <c:v>1-Dec-95</c:v>
                </c:pt>
                <c:pt idx="58">
                  <c:v>4-May-96</c:v>
                </c:pt>
                <c:pt idx="59">
                  <c:v>14-Jun-97</c:v>
                </c:pt>
                <c:pt idx="60">
                  <c:v>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2-Feb-99</c:v>
                </c:pt>
                <c:pt idx="66">
                  <c:v>1-Mar-99</c:v>
                </c:pt>
                <c:pt idx="67">
                  <c:v>2-Mar-99</c:v>
                </c:pt>
                <c:pt idx="68">
                  <c:v>3-Mar-99</c:v>
                </c:pt>
                <c:pt idx="69">
                  <c:v>24-Apr-99</c:v>
                </c:pt>
                <c:pt idx="70">
                  <c:v>5-Jun-99</c:v>
                </c:pt>
                <c:pt idx="71">
                  <c:v>6-Jun-99</c:v>
                </c:pt>
                <c:pt idx="72">
                  <c:v>7-Jun-99</c:v>
                </c:pt>
                <c:pt idx="73">
                  <c:v>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6-Jan-80</c:v>
                </c:pt>
                <c:pt idx="1">
                  <c:v>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1-Nov-88</c:v>
                </c:pt>
                <c:pt idx="6">
                  <c:v>9-Apr-89</c:v>
                </c:pt>
                <c:pt idx="7">
                  <c:v>10-Apr-89</c:v>
                </c:pt>
                <c:pt idx="8">
                  <c:v>4-Sep-89</c:v>
                </c:pt>
                <c:pt idx="9">
                  <c:v>29-Sep-91</c:v>
                </c:pt>
                <c:pt idx="10">
                  <c:v>5-Mar-95</c:v>
                </c:pt>
                <c:pt idx="11">
                  <c:v>19-Mar-95</c:v>
                </c:pt>
                <c:pt idx="12">
                  <c:v>7-Jul-97</c:v>
                </c:pt>
                <c:pt idx="13">
                  <c:v>14-Jan-98</c:v>
                </c:pt>
                <c:pt idx="14">
                  <c:v>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1-Oct-82</c:v>
                </c:pt>
                <c:pt idx="1">
                  <c:v>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3-Mar-95</c:v>
                </c:pt>
                <c:pt idx="10">
                  <c:v>1-Dec-95</c:v>
                </c:pt>
                <c:pt idx="11">
                  <c:v>7-Jul-97</c:v>
                </c:pt>
                <c:pt idx="12">
                  <c:v>15-Jan-98</c:v>
                </c:pt>
                <c:pt idx="13">
                  <c:v>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1-Jan-77</c:v>
                </c:pt>
                <c:pt idx="1">
                  <c:v>9-Apr-89</c:v>
                </c:pt>
                <c:pt idx="2">
                  <c:v>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 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41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164" showAll="0"/>
    <pivotField numFmtId="164" showAll="0"/>
    <pivotField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164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164" showAll="0"/>
    <pivotField numFmtId="164" showAll="0"/>
    <pivotField dataField="1"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E76"/>
  <sheetViews>
    <sheetView tabSelected="1" workbookViewId="0">
      <selection activeCell="F10" sqref="F10"/>
    </sheetView>
  </sheetViews>
  <sheetFormatPr defaultRowHeight="19" x14ac:dyDescent="0.45"/>
  <cols>
    <col min="1" max="1" width="6" style="130" customWidth="1"/>
    <col min="2" max="2" width="39.265625" style="130" bestFit="1" customWidth="1"/>
    <col min="3" max="3" width="11.19921875" style="130" bestFit="1" customWidth="1"/>
  </cols>
  <sheetData>
    <row r="1" spans="1:5" x14ac:dyDescent="0.45">
      <c r="A1" s="130" t="s">
        <v>0</v>
      </c>
      <c r="B1" s="130" t="s">
        <v>1</v>
      </c>
      <c r="C1" s="131" t="s">
        <v>2</v>
      </c>
    </row>
    <row r="2" spans="1:5" x14ac:dyDescent="0.45">
      <c r="A2" s="130">
        <v>1</v>
      </c>
      <c r="B2" s="131" t="s">
        <v>3</v>
      </c>
      <c r="C2" s="131" t="s">
        <v>4</v>
      </c>
    </row>
    <row r="3" spans="1:5" x14ac:dyDescent="0.45">
      <c r="A3" s="130">
        <v>2</v>
      </c>
      <c r="B3" s="131" t="s">
        <v>5</v>
      </c>
      <c r="C3" s="131" t="s">
        <v>6</v>
      </c>
    </row>
    <row r="4" spans="1:5" x14ac:dyDescent="0.45">
      <c r="A4" s="130">
        <v>3</v>
      </c>
      <c r="B4" s="131" t="s">
        <v>7</v>
      </c>
      <c r="C4" s="131" t="s">
        <v>8</v>
      </c>
    </row>
    <row r="5" spans="1:5" x14ac:dyDescent="0.45">
      <c r="A5" s="130">
        <v>4</v>
      </c>
      <c r="B5" s="131" t="s">
        <v>9</v>
      </c>
      <c r="C5" s="131" t="s">
        <v>10</v>
      </c>
    </row>
    <row r="6" spans="1:5" x14ac:dyDescent="0.45">
      <c r="A6" s="130">
        <v>5</v>
      </c>
      <c r="B6" s="131" t="s">
        <v>11</v>
      </c>
    </row>
    <row r="7" spans="1:5" x14ac:dyDescent="0.45">
      <c r="A7" s="130">
        <v>6</v>
      </c>
      <c r="B7" s="131" t="s">
        <v>12</v>
      </c>
      <c r="C7" s="130">
        <v>2</v>
      </c>
      <c r="E7" t="s">
        <v>983</v>
      </c>
    </row>
    <row r="8" spans="1:5" x14ac:dyDescent="0.45">
      <c r="A8" s="130">
        <v>7</v>
      </c>
      <c r="B8" s="131" t="s">
        <v>13</v>
      </c>
      <c r="C8" s="130">
        <v>7</v>
      </c>
    </row>
    <row r="9" spans="1:5" x14ac:dyDescent="0.45">
      <c r="A9" s="130">
        <v>8</v>
      </c>
      <c r="B9" s="131" t="s">
        <v>14</v>
      </c>
      <c r="C9" s="130">
        <v>8</v>
      </c>
    </row>
    <row r="10" spans="1:5" x14ac:dyDescent="0.45">
      <c r="A10" s="130">
        <v>9</v>
      </c>
      <c r="B10" s="131" t="s">
        <v>15</v>
      </c>
      <c r="C10" s="130">
        <v>9</v>
      </c>
    </row>
    <row r="11" spans="1:5" x14ac:dyDescent="0.45">
      <c r="A11" s="130">
        <v>10</v>
      </c>
      <c r="B11" s="131" t="s">
        <v>16</v>
      </c>
      <c r="C11" s="130">
        <v>12</v>
      </c>
    </row>
    <row r="12" spans="1:5" x14ac:dyDescent="0.45">
      <c r="A12" s="130">
        <v>11</v>
      </c>
      <c r="B12" s="131" t="s">
        <v>17</v>
      </c>
      <c r="C12" s="130">
        <v>13</v>
      </c>
    </row>
    <row r="13" spans="1:5" x14ac:dyDescent="0.45">
      <c r="A13" s="130">
        <v>12</v>
      </c>
      <c r="B13" s="131" t="s">
        <v>18</v>
      </c>
      <c r="C13" s="130">
        <v>14</v>
      </c>
    </row>
    <row r="14" spans="1:5" x14ac:dyDescent="0.45">
      <c r="A14" s="130">
        <v>13</v>
      </c>
      <c r="B14" s="131" t="s">
        <v>19</v>
      </c>
      <c r="C14" s="130" t="s">
        <v>982</v>
      </c>
      <c r="D14" t="s">
        <v>981</v>
      </c>
    </row>
    <row r="15" spans="1:5" x14ac:dyDescent="0.45">
      <c r="A15" s="130">
        <v>14</v>
      </c>
      <c r="B15" s="131" t="s">
        <v>20</v>
      </c>
      <c r="C15" s="130">
        <v>19</v>
      </c>
    </row>
    <row r="16" spans="1:5" x14ac:dyDescent="0.45">
      <c r="A16" s="130">
        <v>15</v>
      </c>
      <c r="B16" s="131" t="s">
        <v>21</v>
      </c>
    </row>
    <row r="17" spans="1:2" x14ac:dyDescent="0.45">
      <c r="A17" s="130">
        <v>16</v>
      </c>
      <c r="B17" s="131" t="s">
        <v>22</v>
      </c>
    </row>
    <row r="18" spans="1:2" x14ac:dyDescent="0.45">
      <c r="A18" s="130">
        <v>17</v>
      </c>
      <c r="B18" s="131" t="s">
        <v>23</v>
      </c>
    </row>
    <row r="19" spans="1:2" x14ac:dyDescent="0.45">
      <c r="A19" s="130">
        <v>18</v>
      </c>
      <c r="B19" s="131" t="s">
        <v>24</v>
      </c>
    </row>
    <row r="20" spans="1:2" x14ac:dyDescent="0.45">
      <c r="A20" s="130">
        <v>19</v>
      </c>
      <c r="B20" s="131" t="s">
        <v>25</v>
      </c>
    </row>
    <row r="21" spans="1:2" x14ac:dyDescent="0.45">
      <c r="A21" s="130">
        <v>20</v>
      </c>
      <c r="B21" s="131" t="s">
        <v>26</v>
      </c>
    </row>
    <row r="22" spans="1:2" x14ac:dyDescent="0.45">
      <c r="A22" s="130">
        <v>21</v>
      </c>
      <c r="B22" s="131" t="s">
        <v>27</v>
      </c>
    </row>
    <row r="23" spans="1:2" x14ac:dyDescent="0.45">
      <c r="A23" s="130">
        <v>22</v>
      </c>
      <c r="B23" s="131" t="s">
        <v>28</v>
      </c>
    </row>
    <row r="24" spans="1:2" x14ac:dyDescent="0.45">
      <c r="A24" s="130">
        <v>23</v>
      </c>
      <c r="B24" s="131" t="s">
        <v>29</v>
      </c>
    </row>
    <row r="25" spans="1:2" x14ac:dyDescent="0.45">
      <c r="A25" s="130">
        <v>24</v>
      </c>
      <c r="B25" s="131" t="s">
        <v>30</v>
      </c>
    </row>
    <row r="26" spans="1:2" x14ac:dyDescent="0.45">
      <c r="A26" s="130">
        <v>25</v>
      </c>
      <c r="B26" s="131" t="s">
        <v>31</v>
      </c>
    </row>
    <row r="27" spans="1:2" x14ac:dyDescent="0.45">
      <c r="A27" s="130">
        <v>26</v>
      </c>
      <c r="B27" s="131" t="s">
        <v>32</v>
      </c>
    </row>
    <row r="28" spans="1:2" x14ac:dyDescent="0.45">
      <c r="A28" s="130">
        <v>27</v>
      </c>
      <c r="B28" s="131" t="s">
        <v>33</v>
      </c>
    </row>
    <row r="29" spans="1:2" x14ac:dyDescent="0.45">
      <c r="A29" s="130">
        <v>28</v>
      </c>
      <c r="B29" s="131" t="s">
        <v>34</v>
      </c>
    </row>
    <row r="30" spans="1:2" x14ac:dyDescent="0.45">
      <c r="A30" s="130">
        <v>29</v>
      </c>
      <c r="B30" s="131" t="s">
        <v>35</v>
      </c>
    </row>
    <row r="31" spans="1:2" x14ac:dyDescent="0.45">
      <c r="A31" s="130">
        <v>30</v>
      </c>
      <c r="B31" s="131" t="s">
        <v>36</v>
      </c>
    </row>
    <row r="32" spans="1:2" x14ac:dyDescent="0.45">
      <c r="A32" s="130">
        <v>31</v>
      </c>
      <c r="B32" s="131" t="s">
        <v>37</v>
      </c>
    </row>
    <row r="33" spans="1:2" x14ac:dyDescent="0.45">
      <c r="A33" s="130">
        <v>32</v>
      </c>
      <c r="B33" s="131" t="s">
        <v>38</v>
      </c>
    </row>
    <row r="34" spans="1:2" x14ac:dyDescent="0.45">
      <c r="A34" s="130">
        <v>33</v>
      </c>
      <c r="B34" s="131" t="s">
        <v>39</v>
      </c>
    </row>
    <row r="35" spans="1:2" x14ac:dyDescent="0.45">
      <c r="A35" s="130">
        <v>34</v>
      </c>
      <c r="B35" s="131" t="s">
        <v>40</v>
      </c>
    </row>
    <row r="36" spans="1:2" x14ac:dyDescent="0.45">
      <c r="A36" s="130">
        <v>35</v>
      </c>
      <c r="B36" s="131" t="s">
        <v>41</v>
      </c>
    </row>
    <row r="37" spans="1:2" x14ac:dyDescent="0.45">
      <c r="A37" s="130">
        <v>36</v>
      </c>
      <c r="B37" s="131" t="s">
        <v>42</v>
      </c>
    </row>
    <row r="38" spans="1:2" x14ac:dyDescent="0.45">
      <c r="A38" s="130">
        <v>37</v>
      </c>
      <c r="B38" s="131" t="s">
        <v>43</v>
      </c>
    </row>
    <row r="39" spans="1:2" x14ac:dyDescent="0.45">
      <c r="A39" s="130">
        <v>38</v>
      </c>
      <c r="B39" s="131" t="s">
        <v>44</v>
      </c>
    </row>
    <row r="40" spans="1:2" x14ac:dyDescent="0.45">
      <c r="A40" s="130">
        <v>39</v>
      </c>
      <c r="B40" s="131" t="s">
        <v>45</v>
      </c>
    </row>
    <row r="41" spans="1:2" x14ac:dyDescent="0.45">
      <c r="A41" s="130">
        <v>40</v>
      </c>
      <c r="B41" s="131" t="s">
        <v>46</v>
      </c>
    </row>
    <row r="42" spans="1:2" x14ac:dyDescent="0.45">
      <c r="A42" s="130">
        <v>41</v>
      </c>
      <c r="B42" s="131" t="s">
        <v>47</v>
      </c>
    </row>
    <row r="43" spans="1:2" x14ac:dyDescent="0.45">
      <c r="A43" s="130">
        <v>42</v>
      </c>
      <c r="B43" s="131" t="s">
        <v>48</v>
      </c>
    </row>
    <row r="44" spans="1:2" x14ac:dyDescent="0.45">
      <c r="A44" s="130">
        <v>43</v>
      </c>
      <c r="B44" s="131" t="s">
        <v>49</v>
      </c>
    </row>
    <row r="45" spans="1:2" x14ac:dyDescent="0.45">
      <c r="A45" s="130">
        <v>44</v>
      </c>
      <c r="B45" s="131" t="s">
        <v>50</v>
      </c>
    </row>
    <row r="46" spans="1:2" x14ac:dyDescent="0.45">
      <c r="A46" s="130">
        <v>45</v>
      </c>
      <c r="B46" s="131" t="s">
        <v>51</v>
      </c>
    </row>
    <row r="47" spans="1:2" x14ac:dyDescent="0.45">
      <c r="A47" s="130">
        <v>46</v>
      </c>
      <c r="B47" s="131" t="s">
        <v>52</v>
      </c>
    </row>
    <row r="48" spans="1:2" x14ac:dyDescent="0.45">
      <c r="A48" s="130">
        <v>47</v>
      </c>
      <c r="B48" s="131" t="s">
        <v>53</v>
      </c>
    </row>
    <row r="49" spans="1:2" x14ac:dyDescent="0.45">
      <c r="A49" s="130">
        <v>48</v>
      </c>
      <c r="B49" s="131" t="s">
        <v>54</v>
      </c>
    </row>
    <row r="50" spans="1:2" x14ac:dyDescent="0.45">
      <c r="A50" s="130">
        <v>49</v>
      </c>
      <c r="B50" s="131" t="s">
        <v>55</v>
      </c>
    </row>
    <row r="51" spans="1:2" x14ac:dyDescent="0.45">
      <c r="A51" s="130">
        <v>50</v>
      </c>
      <c r="B51" s="131" t="s">
        <v>56</v>
      </c>
    </row>
    <row r="52" spans="1:2" x14ac:dyDescent="0.45">
      <c r="A52" s="130">
        <v>51</v>
      </c>
      <c r="B52" s="131" t="s">
        <v>57</v>
      </c>
    </row>
    <row r="53" spans="1:2" x14ac:dyDescent="0.45">
      <c r="A53" s="130">
        <v>52</v>
      </c>
      <c r="B53" s="131" t="s">
        <v>58</v>
      </c>
    </row>
    <row r="54" spans="1:2" x14ac:dyDescent="0.45">
      <c r="A54" s="130">
        <v>53</v>
      </c>
      <c r="B54" s="131" t="s">
        <v>59</v>
      </c>
    </row>
    <row r="55" spans="1:2" x14ac:dyDescent="0.45">
      <c r="A55" s="130">
        <v>54</v>
      </c>
      <c r="B55" s="131" t="s">
        <v>60</v>
      </c>
    </row>
    <row r="56" spans="1:2" x14ac:dyDescent="0.45">
      <c r="A56" s="130">
        <v>55</v>
      </c>
      <c r="B56" s="131" t="s">
        <v>61</v>
      </c>
    </row>
    <row r="57" spans="1:2" x14ac:dyDescent="0.45">
      <c r="A57" s="130">
        <v>56</v>
      </c>
      <c r="B57" s="131" t="s">
        <v>62</v>
      </c>
    </row>
    <row r="58" spans="1:2" x14ac:dyDescent="0.45">
      <c r="A58" s="130">
        <v>57</v>
      </c>
      <c r="B58" s="131" t="s">
        <v>63</v>
      </c>
    </row>
    <row r="59" spans="1:2" x14ac:dyDescent="0.45">
      <c r="A59" s="130">
        <v>58</v>
      </c>
      <c r="B59" s="131" t="s">
        <v>64</v>
      </c>
    </row>
    <row r="60" spans="1:2" x14ac:dyDescent="0.45">
      <c r="A60" s="130">
        <v>59</v>
      </c>
      <c r="B60" s="131" t="s">
        <v>65</v>
      </c>
    </row>
    <row r="61" spans="1:2" x14ac:dyDescent="0.45">
      <c r="A61" s="130">
        <v>60</v>
      </c>
      <c r="B61" s="131" t="s">
        <v>66</v>
      </c>
    </row>
    <row r="62" spans="1:2" x14ac:dyDescent="0.45">
      <c r="A62" s="130">
        <v>61</v>
      </c>
      <c r="B62" s="131" t="s">
        <v>67</v>
      </c>
    </row>
    <row r="63" spans="1:2" x14ac:dyDescent="0.45">
      <c r="A63" s="130">
        <v>62</v>
      </c>
      <c r="B63" s="131" t="s">
        <v>68</v>
      </c>
    </row>
    <row r="64" spans="1:2" x14ac:dyDescent="0.45">
      <c r="A64" s="130">
        <v>63</v>
      </c>
      <c r="B64" s="131" t="s">
        <v>69</v>
      </c>
    </row>
    <row r="65" spans="1:2" x14ac:dyDescent="0.45">
      <c r="A65" s="130">
        <v>64</v>
      </c>
      <c r="B65" s="131" t="s">
        <v>70</v>
      </c>
    </row>
    <row r="66" spans="1:2" x14ac:dyDescent="0.45">
      <c r="A66" s="130">
        <v>65</v>
      </c>
      <c r="B66" s="131" t="s">
        <v>71</v>
      </c>
    </row>
    <row r="67" spans="1:2" x14ac:dyDescent="0.45">
      <c r="A67" s="130">
        <v>66</v>
      </c>
      <c r="B67" s="131" t="s">
        <v>72</v>
      </c>
    </row>
    <row r="68" spans="1:2" x14ac:dyDescent="0.45">
      <c r="A68" s="130">
        <v>67</v>
      </c>
      <c r="B68" s="131" t="s">
        <v>73</v>
      </c>
    </row>
    <row r="69" spans="1:2" x14ac:dyDescent="0.45">
      <c r="A69" s="130">
        <v>68</v>
      </c>
      <c r="B69" s="131" t="s">
        <v>74</v>
      </c>
    </row>
    <row r="70" spans="1:2" x14ac:dyDescent="0.45">
      <c r="A70" s="130">
        <v>69</v>
      </c>
      <c r="B70" s="131" t="s">
        <v>75</v>
      </c>
    </row>
    <row r="71" spans="1:2" x14ac:dyDescent="0.45">
      <c r="A71" s="130">
        <v>70</v>
      </c>
      <c r="B71" s="131" t="s">
        <v>76</v>
      </c>
    </row>
    <row r="72" spans="1:2" x14ac:dyDescent="0.45">
      <c r="A72" s="130">
        <v>71</v>
      </c>
      <c r="B72" s="131" t="s">
        <v>77</v>
      </c>
    </row>
    <row r="73" spans="1:2" x14ac:dyDescent="0.45">
      <c r="A73" s="130">
        <v>72</v>
      </c>
      <c r="B73" s="131" t="s">
        <v>78</v>
      </c>
    </row>
    <row r="74" spans="1:2" x14ac:dyDescent="0.45">
      <c r="A74" s="130">
        <v>73</v>
      </c>
      <c r="B74" s="131" t="s">
        <v>79</v>
      </c>
    </row>
    <row r="75" spans="1:2" x14ac:dyDescent="0.45">
      <c r="A75" s="130">
        <v>74</v>
      </c>
      <c r="B75" s="131" t="s">
        <v>80</v>
      </c>
    </row>
    <row r="76" spans="1:2" x14ac:dyDescent="0.45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10" zoomScaleNormal="110" workbookViewId="0">
      <pane ySplit="1" topLeftCell="A2" activePane="bottomLeft" state="frozen"/>
      <selection pane="bottomLeft" activeCell="I10" sqref="I10"/>
    </sheetView>
  </sheetViews>
  <sheetFormatPr defaultRowHeight="19" x14ac:dyDescent="0.45"/>
  <cols>
    <col min="2" max="2" width="14" customWidth="1"/>
    <col min="3" max="3" width="10.796875" customWidth="1"/>
    <col min="4" max="4" width="9.59765625" customWidth="1"/>
    <col min="5" max="5" width="9.86328125" customWidth="1"/>
    <col min="6" max="6" width="9.46484375" customWidth="1"/>
  </cols>
  <sheetData>
    <row r="1" spans="1:13" s="2" customFormat="1" ht="32.65" customHeight="1" thickBot="1" x14ac:dyDescent="0.5">
      <c r="A1" s="36">
        <v>1</v>
      </c>
      <c r="B1" s="1" t="s">
        <v>82</v>
      </c>
    </row>
    <row r="2" spans="1:13" x14ac:dyDescent="0.45">
      <c r="A2" s="37" t="s">
        <v>2</v>
      </c>
    </row>
    <row r="3" spans="1:13" x14ac:dyDescent="0.4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45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45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2" si="0">SUM(D5:F5)</f>
        <v>46000</v>
      </c>
    </row>
    <row r="6" spans="1:13" x14ac:dyDescent="0.45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45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45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45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45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45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45">
      <c r="B12" s="140" t="s">
        <v>95</v>
      </c>
      <c r="C12" s="141"/>
      <c r="D12" s="142">
        <f>AVERAGE(D4:D11)</f>
        <v>17487.5</v>
      </c>
      <c r="E12" s="142">
        <f t="shared" ref="E12:F12" si="1">AVERAGE(E4:E11)</f>
        <v>16250</v>
      </c>
      <c r="F12" s="142">
        <f t="shared" si="1"/>
        <v>17100</v>
      </c>
      <c r="G12" s="54">
        <f t="shared" si="0"/>
        <v>50837.5</v>
      </c>
    </row>
    <row r="16" spans="1:13" x14ac:dyDescent="0.45">
      <c r="B16" s="3" t="s">
        <v>83</v>
      </c>
      <c r="C16" s="3" t="s">
        <v>84</v>
      </c>
      <c r="D16" s="3" t="s">
        <v>96</v>
      </c>
    </row>
    <row r="17" spans="2:4" x14ac:dyDescent="0.45">
      <c r="B17" s="4" t="s">
        <v>97</v>
      </c>
      <c r="C17" s="4" t="s">
        <v>90</v>
      </c>
      <c r="D17" s="4">
        <v>12000</v>
      </c>
    </row>
    <row r="18" spans="2:4" x14ac:dyDescent="0.45">
      <c r="B18" s="4" t="s">
        <v>97</v>
      </c>
      <c r="C18" s="4" t="s">
        <v>92</v>
      </c>
      <c r="D18" s="4">
        <v>34000</v>
      </c>
    </row>
    <row r="19" spans="2:4" x14ac:dyDescent="0.45">
      <c r="B19" s="4" t="s">
        <v>97</v>
      </c>
      <c r="C19" s="4" t="s">
        <v>90</v>
      </c>
      <c r="D19" s="4">
        <v>76000</v>
      </c>
    </row>
    <row r="20" spans="2:4" ht="19.5" thickBot="1" x14ac:dyDescent="0.5">
      <c r="B20" s="7" t="s">
        <v>98</v>
      </c>
      <c r="C20" s="6"/>
      <c r="D20" s="7">
        <f>SUM(D17:D19)</f>
        <v>122000</v>
      </c>
    </row>
    <row r="21" spans="2:4" x14ac:dyDescent="0.45">
      <c r="B21" s="5" t="s">
        <v>99</v>
      </c>
      <c r="C21" s="5" t="s">
        <v>92</v>
      </c>
      <c r="D21" s="5">
        <v>45000</v>
      </c>
    </row>
    <row r="22" spans="2:4" x14ac:dyDescent="0.45">
      <c r="B22" s="4" t="s">
        <v>99</v>
      </c>
      <c r="C22" s="4" t="s">
        <v>94</v>
      </c>
      <c r="D22" s="4">
        <v>44000</v>
      </c>
    </row>
    <row r="23" spans="2:4" x14ac:dyDescent="0.45">
      <c r="B23" s="4" t="s">
        <v>99</v>
      </c>
      <c r="C23" s="4" t="s">
        <v>90</v>
      </c>
      <c r="D23" s="4">
        <v>2500</v>
      </c>
    </row>
    <row r="24" spans="2:4" ht="19.5" thickBot="1" x14ac:dyDescent="0.5">
      <c r="B24" s="7" t="s">
        <v>98</v>
      </c>
      <c r="C24" s="6"/>
      <c r="D24" s="7">
        <f>SUM(D21:D23)</f>
        <v>91500</v>
      </c>
    </row>
    <row r="25" spans="2:4" x14ac:dyDescent="0.45">
      <c r="B25" s="5" t="s">
        <v>100</v>
      </c>
      <c r="C25" s="5" t="s">
        <v>92</v>
      </c>
      <c r="D25" s="5">
        <v>6500</v>
      </c>
    </row>
    <row r="26" spans="2:4" x14ac:dyDescent="0.45">
      <c r="B26" s="4" t="s">
        <v>100</v>
      </c>
      <c r="C26" s="4" t="s">
        <v>92</v>
      </c>
      <c r="D26" s="4">
        <v>6501</v>
      </c>
    </row>
    <row r="27" spans="2:4" ht="19.5" thickBot="1" x14ac:dyDescent="0.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60" zoomScaleNormal="60" workbookViewId="0">
      <pane ySplit="1" topLeftCell="A2" activePane="bottomLeft" state="frozen"/>
      <selection pane="bottomLeft" activeCell="I7" sqref="I7"/>
    </sheetView>
  </sheetViews>
  <sheetFormatPr defaultRowHeight="19" x14ac:dyDescent="0.45"/>
  <cols>
    <col min="2" max="2" width="24.46484375" customWidth="1"/>
    <col min="6" max="6" width="14" customWidth="1"/>
  </cols>
  <sheetData>
    <row r="1" spans="1:9" s="2" customFormat="1" ht="32.65" customHeight="1" thickBot="1" x14ac:dyDescent="0.5">
      <c r="A1" s="36">
        <v>2</v>
      </c>
      <c r="B1" s="143" t="s">
        <v>101</v>
      </c>
      <c r="C1" s="143"/>
      <c r="D1" s="143"/>
      <c r="E1" s="143"/>
      <c r="F1" s="143"/>
      <c r="G1" s="143"/>
      <c r="H1" s="143"/>
    </row>
    <row r="2" spans="1:9" x14ac:dyDescent="0.45">
      <c r="A2" s="37" t="s">
        <v>2</v>
      </c>
    </row>
    <row r="3" spans="1:9" x14ac:dyDescent="0.45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45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45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45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45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45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45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45">
      <c r="B10" s="39" t="s">
        <v>89</v>
      </c>
      <c r="C10" s="39" t="s">
        <v>90</v>
      </c>
      <c r="D10" s="39">
        <v>29000</v>
      </c>
      <c r="E10">
        <f t="shared" si="0"/>
        <v>5000</v>
      </c>
      <c r="F10" s="155">
        <f>SUMIF(D4:D13,"&gt;10000")</f>
        <v>132000</v>
      </c>
    </row>
    <row r="11" spans="1:9" x14ac:dyDescent="0.45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45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45">
      <c r="B13" s="39" t="s">
        <v>89</v>
      </c>
      <c r="C13" s="39" t="s">
        <v>90</v>
      </c>
      <c r="D13" s="39">
        <v>27000</v>
      </c>
      <c r="E13">
        <f t="shared" si="0"/>
        <v>5000</v>
      </c>
      <c r="F13" s="155" t="s">
        <v>979</v>
      </c>
      <c r="G13" s="155">
        <f>IF(D4&gt;10000,5000,IF(D4&gt;=5000,3000,2000))</f>
        <v>5000</v>
      </c>
    </row>
    <row r="15" spans="1:9" x14ac:dyDescent="0.45">
      <c r="B15" t="s">
        <v>105</v>
      </c>
    </row>
    <row r="16" spans="1:9" x14ac:dyDescent="0.4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45">
      <c r="B17" s="4" t="s">
        <v>97</v>
      </c>
      <c r="C17" s="4" t="s">
        <v>90</v>
      </c>
      <c r="D17" s="4">
        <v>34000</v>
      </c>
      <c r="F17" s="4"/>
      <c r="G17" s="4">
        <f>SUMIF(B17:B26,F17,D17:D26)</f>
        <v>0</v>
      </c>
    </row>
    <row r="18" spans="2:7" x14ac:dyDescent="0.45">
      <c r="B18" s="4" t="s">
        <v>106</v>
      </c>
      <c r="C18" s="4" t="s">
        <v>92</v>
      </c>
      <c r="D18" s="4">
        <v>5000</v>
      </c>
    </row>
    <row r="19" spans="2:7" x14ac:dyDescent="0.45">
      <c r="B19" s="4" t="s">
        <v>107</v>
      </c>
      <c r="C19" s="4" t="s">
        <v>94</v>
      </c>
      <c r="D19" s="4">
        <v>76000</v>
      </c>
      <c r="F19" t="s">
        <v>980</v>
      </c>
    </row>
    <row r="20" spans="2:7" x14ac:dyDescent="0.45">
      <c r="B20" s="4" t="s">
        <v>108</v>
      </c>
      <c r="C20" s="4" t="s">
        <v>90</v>
      </c>
      <c r="D20" s="4">
        <v>45000</v>
      </c>
    </row>
    <row r="21" spans="2:7" x14ac:dyDescent="0.45">
      <c r="B21" s="4" t="s">
        <v>109</v>
      </c>
      <c r="C21" s="4" t="s">
        <v>92</v>
      </c>
      <c r="D21" s="4">
        <v>8700</v>
      </c>
    </row>
    <row r="22" spans="2:7" x14ac:dyDescent="0.45">
      <c r="B22" s="4" t="s">
        <v>110</v>
      </c>
      <c r="C22" s="4" t="s">
        <v>94</v>
      </c>
      <c r="D22" s="4">
        <v>5600</v>
      </c>
    </row>
    <row r="23" spans="2:7" x14ac:dyDescent="0.45">
      <c r="B23" s="4" t="s">
        <v>108</v>
      </c>
      <c r="C23" s="4" t="s">
        <v>90</v>
      </c>
      <c r="D23" s="4">
        <v>45000</v>
      </c>
    </row>
    <row r="24" spans="2:7" x14ac:dyDescent="0.45">
      <c r="B24" s="4" t="s">
        <v>99</v>
      </c>
      <c r="C24" s="4" t="s">
        <v>92</v>
      </c>
      <c r="D24" s="4">
        <v>5600</v>
      </c>
    </row>
    <row r="25" spans="2:7" x14ac:dyDescent="0.45">
      <c r="B25" s="4" t="s">
        <v>111</v>
      </c>
      <c r="C25" s="4" t="s">
        <v>94</v>
      </c>
      <c r="D25" s="4">
        <v>5600</v>
      </c>
    </row>
    <row r="26" spans="2:7" x14ac:dyDescent="0.4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50" zoomScaleNormal="50" workbookViewId="0">
      <pane ySplit="1" topLeftCell="A2" activePane="bottomLeft" state="frozen"/>
      <selection pane="bottomLeft" activeCell="F18" sqref="F18:G18"/>
    </sheetView>
  </sheetViews>
  <sheetFormatPr defaultRowHeight="19" x14ac:dyDescent="0.45"/>
  <cols>
    <col min="2" max="2" width="14" customWidth="1"/>
    <col min="6" max="6" width="14" customWidth="1"/>
  </cols>
  <sheetData>
    <row r="1" spans="1:11" s="2" customFormat="1" ht="32.65" customHeight="1" thickBot="1" x14ac:dyDescent="0.5">
      <c r="A1" s="36">
        <v>3</v>
      </c>
      <c r="B1" s="1" t="s">
        <v>112</v>
      </c>
    </row>
    <row r="2" spans="1:11" x14ac:dyDescent="0.45">
      <c r="A2" s="37" t="s">
        <v>2</v>
      </c>
    </row>
    <row r="3" spans="1:11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45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45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45">
      <c r="B6" s="39" t="s">
        <v>93</v>
      </c>
      <c r="C6" s="39" t="s">
        <v>94</v>
      </c>
      <c r="D6" s="39">
        <v>28500</v>
      </c>
      <c r="I6" t="str">
        <v>Webcam</v>
      </c>
    </row>
    <row r="7" spans="1:11" x14ac:dyDescent="0.45">
      <c r="B7" s="39" t="s">
        <v>89</v>
      </c>
      <c r="C7" s="39" t="s">
        <v>90</v>
      </c>
      <c r="D7" s="39">
        <v>31000</v>
      </c>
      <c r="I7" t="str">
        <v>Router</v>
      </c>
    </row>
    <row r="8" spans="1:11" x14ac:dyDescent="0.45">
      <c r="B8" s="39" t="s">
        <v>91</v>
      </c>
      <c r="C8" s="39" t="s">
        <v>92</v>
      </c>
      <c r="D8" s="39">
        <v>7900</v>
      </c>
    </row>
    <row r="9" spans="1:11" x14ac:dyDescent="0.45">
      <c r="B9" s="39" t="s">
        <v>93</v>
      </c>
      <c r="C9" s="39" t="s">
        <v>94</v>
      </c>
      <c r="D9" s="39">
        <v>7200</v>
      </c>
      <c r="I9" s="155" t="str" cm="1">
        <f t="array" ref="I9:I12">_xlfn.UNIQUE(B4:B13)</f>
        <v>Tablet</v>
      </c>
    </row>
    <row r="10" spans="1:11" x14ac:dyDescent="0.45">
      <c r="B10" s="39" t="s">
        <v>89</v>
      </c>
      <c r="C10" s="39" t="s">
        <v>90</v>
      </c>
      <c r="D10" s="39">
        <v>27000</v>
      </c>
      <c r="I10" s="155" t="str">
        <v>Speaker</v>
      </c>
    </row>
    <row r="11" spans="1:11" x14ac:dyDescent="0.45">
      <c r="B11" s="39" t="s">
        <v>91</v>
      </c>
      <c r="C11" s="39" t="s">
        <v>92</v>
      </c>
      <c r="D11" s="39">
        <v>6100</v>
      </c>
      <c r="I11" s="155" t="str">
        <v>Webcam</v>
      </c>
    </row>
    <row r="12" spans="1:11" x14ac:dyDescent="0.45">
      <c r="B12" s="39" t="s">
        <v>113</v>
      </c>
      <c r="C12" s="39" t="s">
        <v>94</v>
      </c>
      <c r="D12" s="39">
        <v>6000</v>
      </c>
      <c r="I12" s="155" t="str">
        <v>Router</v>
      </c>
    </row>
    <row r="13" spans="1:11" x14ac:dyDescent="0.45">
      <c r="B13" s="39" t="s">
        <v>89</v>
      </c>
      <c r="C13" s="39" t="s">
        <v>90</v>
      </c>
      <c r="D13" s="39">
        <v>25000</v>
      </c>
    </row>
    <row r="17" spans="2:7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45">
      <c r="B18" s="4" t="s">
        <v>97</v>
      </c>
      <c r="C18" s="4" t="s">
        <v>90</v>
      </c>
      <c r="D18" s="4">
        <v>34000</v>
      </c>
      <c r="F18" s="156" t="s">
        <v>97</v>
      </c>
      <c r="G18" s="156">
        <f>SUMIF(B18:B27,B18,D18:D27)</f>
        <v>79000</v>
      </c>
    </row>
    <row r="19" spans="2:7" x14ac:dyDescent="0.45">
      <c r="B19" s="4" t="s">
        <v>106</v>
      </c>
      <c r="C19" s="4" t="s">
        <v>92</v>
      </c>
      <c r="D19" s="4">
        <v>5000</v>
      </c>
    </row>
    <row r="20" spans="2:7" x14ac:dyDescent="0.45">
      <c r="B20" s="4" t="s">
        <v>114</v>
      </c>
      <c r="C20" s="4" t="s">
        <v>94</v>
      </c>
      <c r="D20" s="4">
        <v>76000</v>
      </c>
    </row>
    <row r="21" spans="2:7" x14ac:dyDescent="0.45">
      <c r="B21" s="4" t="s">
        <v>108</v>
      </c>
      <c r="C21" s="4" t="s">
        <v>90</v>
      </c>
      <c r="D21" s="4">
        <v>45000</v>
      </c>
    </row>
    <row r="22" spans="2:7" x14ac:dyDescent="0.45">
      <c r="B22" s="4" t="s">
        <v>109</v>
      </c>
      <c r="C22" s="4" t="s">
        <v>92</v>
      </c>
      <c r="D22" s="4">
        <v>8700</v>
      </c>
    </row>
    <row r="23" spans="2:7" x14ac:dyDescent="0.45">
      <c r="B23" s="4" t="s">
        <v>114</v>
      </c>
      <c r="C23" s="4" t="s">
        <v>94</v>
      </c>
      <c r="D23" s="4">
        <v>5600</v>
      </c>
    </row>
    <row r="24" spans="2:7" x14ac:dyDescent="0.45">
      <c r="B24" s="4" t="s">
        <v>108</v>
      </c>
      <c r="C24" s="4" t="s">
        <v>90</v>
      </c>
      <c r="D24" s="4">
        <v>45000</v>
      </c>
    </row>
    <row r="25" spans="2:7" x14ac:dyDescent="0.45">
      <c r="B25" s="4" t="s">
        <v>99</v>
      </c>
      <c r="C25" s="4" t="s">
        <v>92</v>
      </c>
      <c r="D25" s="4">
        <v>5600</v>
      </c>
    </row>
    <row r="26" spans="2:7" x14ac:dyDescent="0.45">
      <c r="B26" s="4" t="s">
        <v>111</v>
      </c>
      <c r="C26" s="4" t="s">
        <v>94</v>
      </c>
      <c r="D26" s="4">
        <v>5600</v>
      </c>
    </row>
    <row r="27" spans="2:7" x14ac:dyDescent="0.4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50" zoomScaleNormal="50" workbookViewId="0">
      <pane ySplit="1" topLeftCell="A2" activePane="bottomLeft" state="frozen"/>
      <selection pane="bottomLeft" activeCell="L4" sqref="L4"/>
    </sheetView>
  </sheetViews>
  <sheetFormatPr defaultRowHeight="19" x14ac:dyDescent="0.45"/>
  <cols>
    <col min="2" max="2" width="24.59765625" bestFit="1" customWidth="1"/>
    <col min="6" max="6" width="14" customWidth="1"/>
  </cols>
  <sheetData>
    <row r="1" spans="1:12" s="2" customFormat="1" ht="32.65" customHeight="1" thickBot="1" x14ac:dyDescent="0.5">
      <c r="A1" s="36">
        <v>4</v>
      </c>
      <c r="B1" s="1" t="s">
        <v>115</v>
      </c>
    </row>
    <row r="2" spans="1:12" x14ac:dyDescent="0.45">
      <c r="A2" s="37" t="s">
        <v>2</v>
      </c>
    </row>
    <row r="3" spans="1:12" x14ac:dyDescent="0.45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45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H8</f>
        <v>0</v>
      </c>
    </row>
    <row r="5" spans="1:12" x14ac:dyDescent="0.45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45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45">
      <c r="B7" s="39" t="s">
        <v>116</v>
      </c>
      <c r="C7" s="60" t="s">
        <v>90</v>
      </c>
      <c r="D7" s="39">
        <v>26000</v>
      </c>
    </row>
    <row r="8" spans="1:12" x14ac:dyDescent="0.45">
      <c r="B8" s="39" t="s">
        <v>118</v>
      </c>
      <c r="C8" s="60" t="s">
        <v>92</v>
      </c>
      <c r="D8" s="39">
        <v>8900</v>
      </c>
    </row>
    <row r="9" spans="1:12" x14ac:dyDescent="0.45">
      <c r="B9" s="39" t="s">
        <v>119</v>
      </c>
      <c r="C9" s="60" t="s">
        <v>94</v>
      </c>
      <c r="D9" s="39">
        <v>6800</v>
      </c>
    </row>
    <row r="10" spans="1:12" x14ac:dyDescent="0.45">
      <c r="B10" s="39" t="s">
        <v>116</v>
      </c>
      <c r="C10" s="60" t="s">
        <v>117</v>
      </c>
      <c r="D10" s="39">
        <v>24500</v>
      </c>
    </row>
    <row r="11" spans="1:12" x14ac:dyDescent="0.45">
      <c r="B11" s="39" t="s">
        <v>118</v>
      </c>
      <c r="C11" s="60" t="s">
        <v>94</v>
      </c>
      <c r="D11" s="39">
        <v>6400</v>
      </c>
    </row>
    <row r="12" spans="1:12" x14ac:dyDescent="0.45">
      <c r="B12" s="39" t="s">
        <v>120</v>
      </c>
      <c r="C12" s="60" t="s">
        <v>94</v>
      </c>
      <c r="D12" s="39">
        <v>6000</v>
      </c>
    </row>
    <row r="13" spans="1:12" x14ac:dyDescent="0.45">
      <c r="B13" s="39" t="s">
        <v>116</v>
      </c>
      <c r="C13" s="60" t="s">
        <v>117</v>
      </c>
      <c r="D13" s="39">
        <v>27500</v>
      </c>
    </row>
    <row r="17" spans="2:12" x14ac:dyDescent="0.45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45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94</v>
      </c>
      <c r="H18" s="4"/>
    </row>
    <row r="19" spans="2:12" x14ac:dyDescent="0.45">
      <c r="B19" s="39" t="s">
        <v>123</v>
      </c>
      <c r="C19" s="39" t="s">
        <v>92</v>
      </c>
      <c r="D19" s="39">
        <v>6200</v>
      </c>
    </row>
    <row r="20" spans="2:12" x14ac:dyDescent="0.45">
      <c r="B20" s="39" t="s">
        <v>124</v>
      </c>
      <c r="C20" s="39" t="s">
        <v>94</v>
      </c>
      <c r="D20" s="39">
        <v>31500</v>
      </c>
    </row>
    <row r="21" spans="2:12" x14ac:dyDescent="0.45">
      <c r="B21" s="39" t="s">
        <v>121</v>
      </c>
      <c r="C21" s="39" t="s">
        <v>90</v>
      </c>
      <c r="D21" s="39">
        <v>29000</v>
      </c>
    </row>
    <row r="22" spans="2:12" x14ac:dyDescent="0.45">
      <c r="B22" s="39" t="s">
        <v>122</v>
      </c>
      <c r="C22" s="39" t="s">
        <v>92</v>
      </c>
      <c r="D22" s="39">
        <v>9400</v>
      </c>
    </row>
    <row r="23" spans="2:12" x14ac:dyDescent="0.45">
      <c r="B23" s="39" t="s">
        <v>124</v>
      </c>
      <c r="C23" s="39" t="s">
        <v>94</v>
      </c>
      <c r="D23" s="39">
        <v>7200</v>
      </c>
    </row>
    <row r="24" spans="2:12" x14ac:dyDescent="0.45">
      <c r="B24" s="39" t="s">
        <v>121</v>
      </c>
      <c r="C24" s="39" t="s">
        <v>90</v>
      </c>
      <c r="D24" s="39">
        <v>27500</v>
      </c>
    </row>
    <row r="25" spans="2:12" x14ac:dyDescent="0.45">
      <c r="B25" s="39" t="s">
        <v>122</v>
      </c>
      <c r="C25" s="39" t="s">
        <v>92</v>
      </c>
      <c r="D25" s="39">
        <v>6800</v>
      </c>
    </row>
    <row r="26" spans="2:12" x14ac:dyDescent="0.45">
      <c r="B26" s="39" t="s">
        <v>125</v>
      </c>
      <c r="C26" s="39" t="s">
        <v>94</v>
      </c>
      <c r="D26" s="39">
        <v>6100</v>
      </c>
    </row>
    <row r="27" spans="2:12" x14ac:dyDescent="0.45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80" zoomScaleNormal="80" workbookViewId="0">
      <pane ySplit="1" topLeftCell="A2" activePane="bottomLeft" state="frozen"/>
      <selection pane="bottomLeft" activeCell="F11" sqref="F11:F13"/>
    </sheetView>
  </sheetViews>
  <sheetFormatPr defaultRowHeight="19" x14ac:dyDescent="0.45"/>
  <cols>
    <col min="2" max="2" width="14" customWidth="1"/>
    <col min="4" max="6" width="9.46484375" customWidth="1"/>
  </cols>
  <sheetData>
    <row r="1" spans="1:11" s="2" customFormat="1" ht="32.65" customHeight="1" thickBot="1" x14ac:dyDescent="0.5">
      <c r="A1" s="36">
        <v>5</v>
      </c>
      <c r="B1" s="1" t="s">
        <v>126</v>
      </c>
    </row>
    <row r="2" spans="1:11" x14ac:dyDescent="0.45">
      <c r="A2" s="37" t="s">
        <v>2</v>
      </c>
    </row>
    <row r="3" spans="1:11" x14ac:dyDescent="0.45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45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45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3" si="0">PRODUCT(D5:E5)</f>
        <v>8715</v>
      </c>
    </row>
    <row r="6" spans="1:11" x14ac:dyDescent="0.45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45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45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45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45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45">
      <c r="B11" s="39" t="s">
        <v>130</v>
      </c>
      <c r="C11" s="61" t="s">
        <v>94</v>
      </c>
      <c r="D11" s="39">
        <v>60</v>
      </c>
      <c r="E11" s="45">
        <v>205</v>
      </c>
      <c r="F11" s="158">
        <f t="shared" si="0"/>
        <v>12300</v>
      </c>
    </row>
    <row r="12" spans="1:11" x14ac:dyDescent="0.45">
      <c r="B12" s="39" t="s">
        <v>132</v>
      </c>
      <c r="C12" s="61" t="s">
        <v>94</v>
      </c>
      <c r="D12" s="39">
        <v>12</v>
      </c>
      <c r="E12" s="45">
        <v>3900</v>
      </c>
      <c r="F12" s="158">
        <f t="shared" si="0"/>
        <v>46800</v>
      </c>
    </row>
    <row r="13" spans="1:11" x14ac:dyDescent="0.45">
      <c r="B13" s="39" t="s">
        <v>129</v>
      </c>
      <c r="C13" s="61" t="s">
        <v>117</v>
      </c>
      <c r="D13" s="39">
        <v>10</v>
      </c>
      <c r="E13" s="45">
        <v>280</v>
      </c>
      <c r="F13" s="158">
        <f t="shared" si="0"/>
        <v>2800</v>
      </c>
    </row>
    <row r="16" spans="1:11" x14ac:dyDescent="0.45">
      <c r="B16" s="10" t="s">
        <v>133</v>
      </c>
    </row>
    <row r="17" spans="2:4" x14ac:dyDescent="0.45">
      <c r="B17">
        <v>2</v>
      </c>
      <c r="D17" s="157">
        <f>PRODUCT(B17:B24)</f>
        <v>196000</v>
      </c>
    </row>
    <row r="18" spans="2:4" x14ac:dyDescent="0.45">
      <c r="B18">
        <v>4</v>
      </c>
    </row>
    <row r="19" spans="2:4" x14ac:dyDescent="0.45">
      <c r="B19">
        <v>5</v>
      </c>
    </row>
    <row r="20" spans="2:4" x14ac:dyDescent="0.45">
      <c r="B20">
        <v>7</v>
      </c>
    </row>
    <row r="21" spans="2:4" x14ac:dyDescent="0.45">
      <c r="B21">
        <v>5</v>
      </c>
    </row>
    <row r="22" spans="2:4" x14ac:dyDescent="0.45">
      <c r="B22">
        <v>4</v>
      </c>
    </row>
    <row r="23" spans="2:4" x14ac:dyDescent="0.45">
      <c r="B23">
        <v>5</v>
      </c>
    </row>
    <row r="24" spans="2:4" x14ac:dyDescent="0.45">
      <c r="B24">
        <v>7</v>
      </c>
    </row>
    <row r="25" spans="2:4" x14ac:dyDescent="0.4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96" zoomScaleNormal="96" workbookViewId="0">
      <pane ySplit="1" topLeftCell="A3" activePane="bottomLeft" state="frozen"/>
      <selection pane="bottomLeft" activeCell="H9" sqref="H9"/>
    </sheetView>
  </sheetViews>
  <sheetFormatPr defaultRowHeight="19" x14ac:dyDescent="0.45"/>
  <cols>
    <col min="2" max="2" width="16.265625" customWidth="1"/>
    <col min="4" max="5" width="9.46484375" customWidth="1"/>
    <col min="6" max="6" width="11.19921875" customWidth="1"/>
  </cols>
  <sheetData>
    <row r="1" spans="1:11" s="2" customFormat="1" ht="32.65" customHeight="1" thickBot="1" x14ac:dyDescent="0.5">
      <c r="A1" s="36">
        <v>6</v>
      </c>
      <c r="B1" s="1" t="s">
        <v>134</v>
      </c>
    </row>
    <row r="2" spans="1:11" x14ac:dyDescent="0.45">
      <c r="A2" s="37" t="s">
        <v>2</v>
      </c>
    </row>
    <row r="3" spans="1:11" x14ac:dyDescent="0.45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45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45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45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45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45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45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45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45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45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45">
      <c r="D14" s="144" t="s">
        <v>139</v>
      </c>
      <c r="E14" s="145"/>
      <c r="F14" s="158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9" x14ac:dyDescent="0.45"/>
  <cols>
    <col min="2" max="2" width="14" style="13" customWidth="1"/>
    <col min="3" max="3" width="13.265625" customWidth="1"/>
    <col min="5" max="5" width="12.796875" customWidth="1"/>
  </cols>
  <sheetData>
    <row r="1" spans="1:8" s="2" customFormat="1" ht="32.65" customHeight="1" thickBot="1" x14ac:dyDescent="0.5">
      <c r="A1" s="36">
        <v>7</v>
      </c>
      <c r="B1" s="137" t="s">
        <v>140</v>
      </c>
    </row>
    <row r="2" spans="1:8" x14ac:dyDescent="0.45">
      <c r="A2" s="37" t="s">
        <v>2</v>
      </c>
    </row>
    <row r="3" spans="1:8" x14ac:dyDescent="0.45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45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45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45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45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45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45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45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45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45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9" x14ac:dyDescent="0.45"/>
  <cols>
    <col min="2" max="2" width="14" style="13" customWidth="1"/>
    <col min="3" max="3" width="11.06640625" bestFit="1" customWidth="1"/>
    <col min="4" max="4" width="8" bestFit="1" customWidth="1"/>
    <col min="5" max="5" width="12.265625" customWidth="1"/>
    <col min="6" max="6" width="15.265625" customWidth="1"/>
  </cols>
  <sheetData>
    <row r="1" spans="1:6" s="2" customFormat="1" ht="32.65" customHeight="1" thickBot="1" x14ac:dyDescent="0.5">
      <c r="A1" s="36">
        <v>8</v>
      </c>
      <c r="B1" s="137" t="s">
        <v>144</v>
      </c>
    </row>
    <row r="2" spans="1:6" x14ac:dyDescent="0.45">
      <c r="A2" s="37" t="s">
        <v>2</v>
      </c>
    </row>
    <row r="3" spans="1:6" x14ac:dyDescent="0.45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45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45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45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45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45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45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45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45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45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style="13" customWidth="1"/>
    <col min="3" max="3" width="14.3984375" customWidth="1"/>
  </cols>
  <sheetData>
    <row r="1" spans="1:6" s="2" customFormat="1" ht="32.65" customHeight="1" thickBot="1" x14ac:dyDescent="0.5">
      <c r="A1" s="36">
        <v>9</v>
      </c>
      <c r="B1" s="137" t="s">
        <v>146</v>
      </c>
    </row>
    <row r="2" spans="1:6" x14ac:dyDescent="0.45">
      <c r="A2" s="37" t="s">
        <v>2</v>
      </c>
    </row>
    <row r="3" spans="1:6" x14ac:dyDescent="0.4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45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45">
      <c r="B5" s="15">
        <v>45293</v>
      </c>
      <c r="C5" s="39" t="s">
        <v>147</v>
      </c>
      <c r="D5" s="39">
        <v>220</v>
      </c>
    </row>
    <row r="6" spans="1:6" x14ac:dyDescent="0.45">
      <c r="B6" s="15">
        <v>45294</v>
      </c>
      <c r="C6" s="39" t="s">
        <v>148</v>
      </c>
      <c r="D6" s="39">
        <v>170</v>
      </c>
    </row>
    <row r="7" spans="1:6" x14ac:dyDescent="0.45">
      <c r="B7" s="15">
        <v>45295</v>
      </c>
      <c r="C7" s="39" t="s">
        <v>149</v>
      </c>
      <c r="D7" s="39">
        <v>250</v>
      </c>
    </row>
    <row r="8" spans="1:6" x14ac:dyDescent="0.45">
      <c r="B8" s="15">
        <v>45296</v>
      </c>
      <c r="C8" s="39" t="s">
        <v>147</v>
      </c>
      <c r="D8" s="39">
        <v>130</v>
      </c>
    </row>
    <row r="9" spans="1:6" x14ac:dyDescent="0.45">
      <c r="B9" s="15">
        <v>45297</v>
      </c>
      <c r="C9" s="39" t="s">
        <v>148</v>
      </c>
      <c r="D9" s="39">
        <v>370</v>
      </c>
    </row>
    <row r="10" spans="1:6" x14ac:dyDescent="0.45">
      <c r="B10" s="15">
        <v>45298</v>
      </c>
      <c r="C10" s="39" t="s">
        <v>149</v>
      </c>
      <c r="D10" s="39">
        <v>280</v>
      </c>
    </row>
    <row r="11" spans="1:6" x14ac:dyDescent="0.45">
      <c r="B11" s="15">
        <v>45299</v>
      </c>
      <c r="C11" s="39" t="s">
        <v>147</v>
      </c>
      <c r="D11" s="39">
        <v>360</v>
      </c>
    </row>
    <row r="12" spans="1:6" x14ac:dyDescent="0.45">
      <c r="B12" s="19">
        <v>45300</v>
      </c>
      <c r="C12" s="39" t="s">
        <v>148</v>
      </c>
      <c r="D12" s="39">
        <v>420</v>
      </c>
    </row>
    <row r="13" spans="1:6" x14ac:dyDescent="0.4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10" zoomScaleNormal="110" workbookViewId="0">
      <pane ySplit="1" topLeftCell="A14" activePane="bottomLeft" state="frozen"/>
      <selection pane="bottomLeft" activeCell="F17" sqref="F17"/>
    </sheetView>
  </sheetViews>
  <sheetFormatPr defaultRowHeight="19" x14ac:dyDescent="0.45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65625" bestFit="1" customWidth="1"/>
  </cols>
  <sheetData>
    <row r="1" spans="1:12" s="2" customFormat="1" ht="32.65" customHeight="1" thickBot="1" x14ac:dyDescent="0.5">
      <c r="A1" s="36">
        <v>10</v>
      </c>
      <c r="B1" s="1" t="s">
        <v>150</v>
      </c>
    </row>
    <row r="2" spans="1:12" x14ac:dyDescent="0.45">
      <c r="A2" s="37" t="s">
        <v>2</v>
      </c>
    </row>
    <row r="3" spans="1:12" x14ac:dyDescent="0.45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45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156">
        <f>AVERAGE(D4:F4)</f>
        <v>21666.666666666668</v>
      </c>
    </row>
    <row r="5" spans="1:12" x14ac:dyDescent="0.45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156">
        <f t="shared" ref="G5:G11" si="0">AVERAGE(D5:F5)</f>
        <v>12933.333333333334</v>
      </c>
    </row>
    <row r="6" spans="1:12" x14ac:dyDescent="0.45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156">
        <f t="shared" si="0"/>
        <v>16733.333333333332</v>
      </c>
    </row>
    <row r="7" spans="1:12" x14ac:dyDescent="0.45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156">
        <f t="shared" si="0"/>
        <v>28666.666666666668</v>
      </c>
    </row>
    <row r="8" spans="1:12" x14ac:dyDescent="0.45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156">
        <f t="shared" si="0"/>
        <v>12200</v>
      </c>
    </row>
    <row r="9" spans="1:12" x14ac:dyDescent="0.45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156">
        <f t="shared" si="0"/>
        <v>17066.666666666668</v>
      </c>
    </row>
    <row r="10" spans="1:12" x14ac:dyDescent="0.45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156">
        <f t="shared" si="0"/>
        <v>13766.666666666666</v>
      </c>
    </row>
    <row r="11" spans="1:12" x14ac:dyDescent="0.45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156">
        <f t="shared" si="0"/>
        <v>13833.333333333334</v>
      </c>
    </row>
    <row r="16" spans="1:12" x14ac:dyDescent="0.45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45">
      <c r="B17" s="39" t="s">
        <v>89</v>
      </c>
      <c r="C17" s="39" t="s">
        <v>90</v>
      </c>
      <c r="D17" s="39">
        <v>21000</v>
      </c>
      <c r="F17" s="157">
        <f>AVERAGE(D17:D24)</f>
        <v>29200</v>
      </c>
    </row>
    <row r="18" spans="2:6" x14ac:dyDescent="0.45">
      <c r="B18" s="39" t="s">
        <v>91</v>
      </c>
      <c r="C18" s="39" t="s">
        <v>92</v>
      </c>
      <c r="D18" s="39">
        <v>8900</v>
      </c>
    </row>
    <row r="19" spans="2:6" x14ac:dyDescent="0.45">
      <c r="B19" s="39" t="s">
        <v>93</v>
      </c>
      <c r="C19" s="39" t="s">
        <v>94</v>
      </c>
      <c r="D19" s="39">
        <v>32500</v>
      </c>
    </row>
    <row r="20" spans="2:6" x14ac:dyDescent="0.45">
      <c r="B20" s="39" t="s">
        <v>89</v>
      </c>
      <c r="C20" s="39" t="s">
        <v>90</v>
      </c>
      <c r="D20" s="39">
        <v>27500</v>
      </c>
    </row>
    <row r="21" spans="2:6" x14ac:dyDescent="0.45">
      <c r="B21" s="39" t="s">
        <v>91</v>
      </c>
      <c r="C21" s="39" t="s">
        <v>92</v>
      </c>
      <c r="D21" s="39">
        <v>9200</v>
      </c>
    </row>
    <row r="22" spans="2:6" x14ac:dyDescent="0.45">
      <c r="B22" s="39" t="s">
        <v>93</v>
      </c>
      <c r="C22" s="39" t="s">
        <v>94</v>
      </c>
      <c r="D22" s="39">
        <v>9100</v>
      </c>
    </row>
    <row r="23" spans="2:6" x14ac:dyDescent="0.45">
      <c r="B23" s="39" t="s">
        <v>89</v>
      </c>
      <c r="C23" s="39" t="s">
        <v>90</v>
      </c>
      <c r="D23" s="39">
        <v>29000</v>
      </c>
    </row>
    <row r="24" spans="2:6" x14ac:dyDescent="0.45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14" activePane="bottomLeft" state="frozen"/>
      <selection pane="bottomLeft" activeCell="G4" sqref="G4"/>
    </sheetView>
  </sheetViews>
  <sheetFormatPr defaultRowHeight="19" x14ac:dyDescent="0.45"/>
  <cols>
    <col min="2" max="2" width="14" customWidth="1"/>
    <col min="4" max="4" width="8.19921875" customWidth="1"/>
    <col min="6" max="6" width="13.59765625" customWidth="1"/>
    <col min="9" max="9" width="13.265625" bestFit="1" customWidth="1"/>
  </cols>
  <sheetData>
    <row r="1" spans="1:11" s="2" customFormat="1" ht="32.65" customHeight="1" thickBot="1" x14ac:dyDescent="0.5">
      <c r="A1" s="36">
        <v>11</v>
      </c>
      <c r="B1" s="1" t="s">
        <v>153</v>
      </c>
    </row>
    <row r="2" spans="1:11" x14ac:dyDescent="0.45">
      <c r="A2" s="37" t="s">
        <v>2</v>
      </c>
    </row>
    <row r="3" spans="1:11" x14ac:dyDescent="0.45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45">
      <c r="B4" s="39" t="s">
        <v>155</v>
      </c>
      <c r="C4" s="39" t="s">
        <v>90</v>
      </c>
      <c r="D4" s="39">
        <v>19500</v>
      </c>
      <c r="F4" s="39" t="s">
        <v>156</v>
      </c>
      <c r="G4" s="156">
        <f>AVERAGEIF(B4:B11,F4,D4:D11)</f>
        <v>7466.666666666667</v>
      </c>
    </row>
    <row r="5" spans="1:11" x14ac:dyDescent="0.45">
      <c r="B5" s="39" t="s">
        <v>156</v>
      </c>
      <c r="C5" s="39" t="s">
        <v>92</v>
      </c>
      <c r="D5" s="39">
        <v>6200</v>
      </c>
    </row>
    <row r="6" spans="1:11" x14ac:dyDescent="0.45">
      <c r="B6" s="39" t="s">
        <v>157</v>
      </c>
      <c r="C6" s="39" t="s">
        <v>94</v>
      </c>
      <c r="D6" s="39">
        <v>31500</v>
      </c>
    </row>
    <row r="7" spans="1:11" x14ac:dyDescent="0.45">
      <c r="B7" s="39" t="s">
        <v>155</v>
      </c>
      <c r="C7" s="39" t="s">
        <v>90</v>
      </c>
      <c r="D7" s="39">
        <v>28500</v>
      </c>
    </row>
    <row r="8" spans="1:11" x14ac:dyDescent="0.45">
      <c r="B8" s="39" t="s">
        <v>156</v>
      </c>
      <c r="C8" s="39" t="s">
        <v>92</v>
      </c>
      <c r="D8" s="39">
        <v>9400</v>
      </c>
    </row>
    <row r="9" spans="1:11" x14ac:dyDescent="0.45">
      <c r="B9" s="39" t="s">
        <v>157</v>
      </c>
      <c r="C9" s="39" t="s">
        <v>94</v>
      </c>
      <c r="D9" s="39">
        <v>7200</v>
      </c>
    </row>
    <row r="10" spans="1:11" x14ac:dyDescent="0.45">
      <c r="B10" s="39" t="s">
        <v>155</v>
      </c>
      <c r="C10" s="39" t="s">
        <v>90</v>
      </c>
      <c r="D10" s="39">
        <v>27000</v>
      </c>
    </row>
    <row r="11" spans="1:11" x14ac:dyDescent="0.45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4" max="4" width="8.46484375" customWidth="1"/>
    <col min="6" max="6" width="14.3984375" customWidth="1"/>
    <col min="7" max="7" width="12.265625" bestFit="1" customWidth="1"/>
    <col min="8" max="8" width="13.265625" bestFit="1" customWidth="1"/>
  </cols>
  <sheetData>
    <row r="1" spans="1:10" s="2" customFormat="1" ht="32.65" customHeight="1" thickBot="1" x14ac:dyDescent="0.5">
      <c r="A1" s="36">
        <v>12</v>
      </c>
      <c r="B1" s="1" t="s">
        <v>158</v>
      </c>
    </row>
    <row r="2" spans="1:10" x14ac:dyDescent="0.45">
      <c r="A2" s="37" t="s">
        <v>2</v>
      </c>
    </row>
    <row r="3" spans="1:10" x14ac:dyDescent="0.45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45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45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45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45">
      <c r="B7" s="39" t="s">
        <v>159</v>
      </c>
      <c r="C7" s="39" t="s">
        <v>90</v>
      </c>
      <c r="D7" s="61">
        <v>31000</v>
      </c>
    </row>
    <row r="8" spans="1:10" x14ac:dyDescent="0.45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45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45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45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4" max="4" width="8.3984375" customWidth="1"/>
    <col min="6" max="6" width="13.59765625" customWidth="1"/>
    <col min="10" max="10" width="13.265625" bestFit="1" customWidth="1"/>
  </cols>
  <sheetData>
    <row r="1" spans="1:12" s="2" customFormat="1" ht="32.65" customHeight="1" thickBot="1" x14ac:dyDescent="0.5">
      <c r="A1" s="36">
        <v>13</v>
      </c>
      <c r="B1" s="1" t="s">
        <v>163</v>
      </c>
    </row>
    <row r="2" spans="1:12" x14ac:dyDescent="0.45">
      <c r="A2" s="37" t="s">
        <v>2</v>
      </c>
    </row>
    <row r="3" spans="1:12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45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45">
      <c r="B5" s="39" t="s">
        <v>161</v>
      </c>
      <c r="C5" s="39" t="s">
        <v>94</v>
      </c>
      <c r="D5" s="39">
        <v>28500</v>
      </c>
    </row>
    <row r="6" spans="1:12" x14ac:dyDescent="0.45">
      <c r="B6" s="39" t="s">
        <v>162</v>
      </c>
      <c r="C6" s="39" t="s">
        <v>94</v>
      </c>
      <c r="D6" s="39">
        <v>7200</v>
      </c>
    </row>
    <row r="7" spans="1:12" x14ac:dyDescent="0.45">
      <c r="B7" s="39" t="s">
        <v>159</v>
      </c>
      <c r="C7" s="39" t="s">
        <v>90</v>
      </c>
      <c r="D7" s="39">
        <v>33000</v>
      </c>
    </row>
    <row r="8" spans="1:12" x14ac:dyDescent="0.45">
      <c r="B8" s="39" t="s">
        <v>161</v>
      </c>
      <c r="C8" s="39" t="s">
        <v>94</v>
      </c>
      <c r="D8" s="39">
        <v>32000</v>
      </c>
    </row>
    <row r="9" spans="1:12" x14ac:dyDescent="0.45">
      <c r="B9" s="39" t="s">
        <v>162</v>
      </c>
      <c r="C9" s="39" t="s">
        <v>94</v>
      </c>
      <c r="D9" s="39">
        <v>25000</v>
      </c>
    </row>
    <row r="10" spans="1:12" x14ac:dyDescent="0.45">
      <c r="B10" s="39" t="s">
        <v>159</v>
      </c>
      <c r="C10" s="39" t="s">
        <v>117</v>
      </c>
      <c r="D10" s="39">
        <v>4600</v>
      </c>
    </row>
    <row r="11" spans="1:12" x14ac:dyDescent="0.45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27.6640625" customWidth="1"/>
    <col min="4" max="4" width="14.86328125" customWidth="1"/>
    <col min="5" max="5" width="13.265625" bestFit="1" customWidth="1"/>
    <col min="6" max="6" width="28.265625" bestFit="1" customWidth="1"/>
    <col min="7" max="7" width="9.19921875" bestFit="1" customWidth="1"/>
  </cols>
  <sheetData>
    <row r="1" spans="1:7" s="2" customFormat="1" ht="32.65" customHeight="1" thickBot="1" x14ac:dyDescent="0.5">
      <c r="A1" s="36">
        <v>14</v>
      </c>
      <c r="B1" s="1" t="s">
        <v>20</v>
      </c>
      <c r="C1" s="1"/>
    </row>
    <row r="2" spans="1:7" x14ac:dyDescent="0.45">
      <c r="A2" s="37" t="s">
        <v>2</v>
      </c>
    </row>
    <row r="3" spans="1:7" x14ac:dyDescent="0.45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45">
      <c r="B4" s="39" t="s">
        <v>89</v>
      </c>
      <c r="C4" s="39" t="s">
        <v>166</v>
      </c>
      <c r="D4" s="39"/>
    </row>
    <row r="5" spans="1:7" x14ac:dyDescent="0.45">
      <c r="B5" s="39" t="s">
        <v>91</v>
      </c>
      <c r="C5" s="39"/>
      <c r="D5" s="39"/>
    </row>
    <row r="6" spans="1:7" x14ac:dyDescent="0.45">
      <c r="B6" s="39" t="s">
        <v>93</v>
      </c>
      <c r="C6" s="39" t="s">
        <v>167</v>
      </c>
      <c r="D6" s="39"/>
    </row>
    <row r="7" spans="1:7" x14ac:dyDescent="0.45">
      <c r="B7" s="39" t="s">
        <v>91</v>
      </c>
      <c r="C7" s="39"/>
      <c r="D7" s="39"/>
    </row>
    <row r="8" spans="1:7" x14ac:dyDescent="0.45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3" max="3" width="10.3984375" customWidth="1"/>
    <col min="8" max="8" width="11" customWidth="1"/>
    <col min="11" max="11" width="13.265625" bestFit="1" customWidth="1"/>
  </cols>
  <sheetData>
    <row r="1" spans="1:12" s="2" customFormat="1" ht="32.65" customHeight="1" thickBot="1" x14ac:dyDescent="0.5">
      <c r="A1" s="36">
        <v>15</v>
      </c>
      <c r="B1" s="1" t="s">
        <v>168</v>
      </c>
    </row>
    <row r="2" spans="1:12" x14ac:dyDescent="0.45">
      <c r="A2" s="37" t="s">
        <v>2</v>
      </c>
    </row>
    <row r="3" spans="1:12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156">
        <f>MAX(D4:F11)</f>
        <v>32000</v>
      </c>
      <c r="K3" s="38"/>
    </row>
    <row r="4" spans="1:12" x14ac:dyDescent="0.45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45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45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45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45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45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45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45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45">
      <c r="H12" s="50"/>
    </row>
    <row r="13" spans="1:12" x14ac:dyDescent="0.45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20" zoomScaleNormal="120" workbookViewId="0">
      <pane ySplit="1" topLeftCell="A5" activePane="bottomLeft" state="frozen"/>
      <selection pane="bottomLeft" activeCell="G8" sqref="G8"/>
    </sheetView>
  </sheetViews>
  <sheetFormatPr defaultRowHeight="19" x14ac:dyDescent="0.45"/>
  <cols>
    <col min="2" max="2" width="14" customWidth="1"/>
    <col min="3" max="3" width="10.3984375" customWidth="1"/>
    <col min="8" max="8" width="14.796875" customWidth="1"/>
    <col min="11" max="11" width="13.265625" bestFit="1" customWidth="1"/>
  </cols>
  <sheetData>
    <row r="1" spans="1:12" s="2" customFormat="1" ht="32.65" customHeight="1" thickBot="1" x14ac:dyDescent="0.5">
      <c r="A1" s="36">
        <v>16</v>
      </c>
      <c r="B1" s="1" t="s">
        <v>173</v>
      </c>
    </row>
    <row r="2" spans="1:12" x14ac:dyDescent="0.45">
      <c r="A2" s="37" t="s">
        <v>2</v>
      </c>
    </row>
    <row r="3" spans="1:12" x14ac:dyDescent="0.4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45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45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156">
        <f>LARGE(D5:F12,3)</f>
        <v>31000</v>
      </c>
    </row>
    <row r="6" spans="1:12" x14ac:dyDescent="0.45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45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45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45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45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45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9" x14ac:dyDescent="0.45"/>
  <cols>
    <col min="2" max="2" width="14" customWidth="1"/>
    <col min="3" max="3" width="10.3984375" customWidth="1"/>
    <col min="10" max="10" width="13.265625" bestFit="1" customWidth="1"/>
  </cols>
  <sheetData>
    <row r="1" spans="1:10" s="2" customFormat="1" ht="32.65" customHeight="1" thickBot="1" x14ac:dyDescent="0.5">
      <c r="A1" s="36">
        <v>17</v>
      </c>
      <c r="B1" s="1" t="s">
        <v>180</v>
      </c>
    </row>
    <row r="2" spans="1:10" x14ac:dyDescent="0.45">
      <c r="A2" s="37" t="s">
        <v>2</v>
      </c>
    </row>
    <row r="3" spans="1:10" x14ac:dyDescent="0.45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156">
        <f>MIN(D4:F11)</f>
        <v>6300</v>
      </c>
      <c r="J3" s="38"/>
    </row>
    <row r="4" spans="1:10" x14ac:dyDescent="0.45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45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45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45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45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45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45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45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20" zoomScaleNormal="120" workbookViewId="0">
      <pane ySplit="1" topLeftCell="A2" activePane="bottomLeft" state="frozen"/>
      <selection pane="bottomLeft" activeCell="H5" sqref="H5"/>
    </sheetView>
  </sheetViews>
  <sheetFormatPr defaultRowHeight="19" x14ac:dyDescent="0.45"/>
  <cols>
    <col min="2" max="2" width="14" customWidth="1"/>
    <col min="3" max="3" width="10.3984375" customWidth="1"/>
    <col min="8" max="8" width="15.3984375" customWidth="1"/>
    <col min="11" max="11" width="13.265625" bestFit="1" customWidth="1"/>
  </cols>
  <sheetData>
    <row r="1" spans="1:11" s="2" customFormat="1" ht="32.65" customHeight="1" thickBot="1" x14ac:dyDescent="0.5">
      <c r="A1" s="36">
        <v>18</v>
      </c>
      <c r="B1" s="1" t="s">
        <v>184</v>
      </c>
    </row>
    <row r="2" spans="1:11" x14ac:dyDescent="0.45">
      <c r="A2" s="37" t="s">
        <v>2</v>
      </c>
    </row>
    <row r="3" spans="1:11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45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45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156">
        <f>SMALL(D5:F12,3)</f>
        <v>7900</v>
      </c>
    </row>
    <row r="6" spans="1:11" x14ac:dyDescent="0.45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45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45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45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45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45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5">
      <c r="A1" s="36">
        <v>19</v>
      </c>
      <c r="B1" s="1" t="s">
        <v>191</v>
      </c>
    </row>
    <row r="2" spans="1:12" x14ac:dyDescent="0.45">
      <c r="A2" s="37" t="s">
        <v>2</v>
      </c>
    </row>
    <row r="3" spans="1:12" x14ac:dyDescent="0.45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45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>RANK(F4,$F$4:$F$11,-1)</f>
        <v>1</v>
      </c>
    </row>
    <row r="5" spans="1:12" x14ac:dyDescent="0.45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ref="G4:G11" si="1">RANK(F5,$F$4:$F$11,-1)</f>
        <v>3</v>
      </c>
    </row>
    <row r="6" spans="1:12" x14ac:dyDescent="0.45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45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45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45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45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45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9" x14ac:dyDescent="0.45"/>
  <cols>
    <col min="2" max="2" width="14" customWidth="1"/>
    <col min="3" max="3" width="11.59765625" customWidth="1"/>
  </cols>
  <sheetData>
    <row r="1" spans="1:5" s="2" customFormat="1" ht="32.65" customHeight="1" thickBot="1" x14ac:dyDescent="0.5">
      <c r="A1" s="36">
        <v>20</v>
      </c>
      <c r="B1" s="1" t="s">
        <v>206</v>
      </c>
    </row>
    <row r="2" spans="1:5" x14ac:dyDescent="0.45">
      <c r="A2" s="37" t="s">
        <v>2</v>
      </c>
    </row>
    <row r="3" spans="1:5" x14ac:dyDescent="0.45">
      <c r="B3" s="3" t="s">
        <v>192</v>
      </c>
      <c r="C3" s="3" t="s">
        <v>196</v>
      </c>
    </row>
    <row r="4" spans="1:5" x14ac:dyDescent="0.45">
      <c r="B4" s="52" t="s">
        <v>198</v>
      </c>
      <c r="C4" s="39">
        <v>154</v>
      </c>
      <c r="E4">
        <f>COUNT(C4:C11)</f>
        <v>6</v>
      </c>
    </row>
    <row r="5" spans="1:5" x14ac:dyDescent="0.45">
      <c r="B5" s="52" t="s">
        <v>199</v>
      </c>
      <c r="C5" s="39">
        <v>174</v>
      </c>
      <c r="E5" s="157">
        <f>COUNT(C4:C11)</f>
        <v>6</v>
      </c>
    </row>
    <row r="6" spans="1:5" x14ac:dyDescent="0.45">
      <c r="B6" s="52" t="s">
        <v>200</v>
      </c>
      <c r="C6" s="39" t="s">
        <v>207</v>
      </c>
    </row>
    <row r="7" spans="1:5" x14ac:dyDescent="0.45">
      <c r="B7" s="52" t="s">
        <v>201</v>
      </c>
      <c r="C7" s="39">
        <v>177</v>
      </c>
    </row>
    <row r="8" spans="1:5" x14ac:dyDescent="0.45">
      <c r="B8" s="52" t="s">
        <v>202</v>
      </c>
      <c r="C8" s="39" t="s">
        <v>207</v>
      </c>
    </row>
    <row r="9" spans="1:5" x14ac:dyDescent="0.45">
      <c r="B9" s="52" t="s">
        <v>203</v>
      </c>
      <c r="C9" s="39">
        <v>209</v>
      </c>
    </row>
    <row r="10" spans="1:5" x14ac:dyDescent="0.45">
      <c r="B10" s="52" t="s">
        <v>204</v>
      </c>
      <c r="C10" s="39">
        <v>225</v>
      </c>
    </row>
    <row r="11" spans="1:5" x14ac:dyDescent="0.45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</cols>
  <sheetData>
    <row r="1" spans="1:4" s="2" customFormat="1" ht="32.65" customHeight="1" thickBot="1" x14ac:dyDescent="0.5">
      <c r="A1" s="36">
        <v>21</v>
      </c>
      <c r="B1" s="1" t="s">
        <v>208</v>
      </c>
    </row>
    <row r="2" spans="1:4" x14ac:dyDescent="0.45">
      <c r="A2" s="37" t="s">
        <v>2</v>
      </c>
    </row>
    <row r="3" spans="1:4" x14ac:dyDescent="0.45">
      <c r="B3" s="42" t="s">
        <v>209</v>
      </c>
    </row>
    <row r="4" spans="1:4" x14ac:dyDescent="0.45">
      <c r="B4" s="39">
        <v>154</v>
      </c>
      <c r="D4">
        <f>COUNTA(B4:B11)</f>
        <v>6</v>
      </c>
    </row>
    <row r="5" spans="1:4" x14ac:dyDescent="0.45">
      <c r="B5" s="39">
        <v>174</v>
      </c>
    </row>
    <row r="6" spans="1:4" x14ac:dyDescent="0.45">
      <c r="B6" s="39" t="s">
        <v>210</v>
      </c>
    </row>
    <row r="7" spans="1:4" x14ac:dyDescent="0.45">
      <c r="B7" s="39">
        <v>177</v>
      </c>
    </row>
    <row r="8" spans="1:4" x14ac:dyDescent="0.45">
      <c r="B8" s="39" t="e">
        <v>#N/A</v>
      </c>
    </row>
    <row r="9" spans="1:4" x14ac:dyDescent="0.45">
      <c r="B9" s="39"/>
    </row>
    <row r="10" spans="1:4" x14ac:dyDescent="0.45">
      <c r="B10" s="39">
        <v>225</v>
      </c>
    </row>
    <row r="11" spans="1:4" x14ac:dyDescent="0.45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1.59765625" customWidth="1"/>
  </cols>
  <sheetData>
    <row r="1" spans="1:7" s="2" customFormat="1" ht="32.65" customHeight="1" thickBot="1" x14ac:dyDescent="0.5">
      <c r="A1" s="36">
        <v>22</v>
      </c>
      <c r="B1" s="1" t="s">
        <v>211</v>
      </c>
    </row>
    <row r="2" spans="1:7" x14ac:dyDescent="0.45">
      <c r="A2" s="37" t="s">
        <v>2</v>
      </c>
    </row>
    <row r="3" spans="1:7" x14ac:dyDescent="0.45">
      <c r="B3" s="3" t="s">
        <v>192</v>
      </c>
      <c r="C3" s="42" t="s">
        <v>196</v>
      </c>
      <c r="E3" t="s">
        <v>212</v>
      </c>
    </row>
    <row r="4" spans="1:7" x14ac:dyDescent="0.45">
      <c r="B4" s="52" t="s">
        <v>198</v>
      </c>
      <c r="C4" s="39">
        <v>154</v>
      </c>
      <c r="E4">
        <f>COUNTBLANK(C4:C11)</f>
        <v>2</v>
      </c>
    </row>
    <row r="5" spans="1:7" x14ac:dyDescent="0.45">
      <c r="B5" s="52" t="s">
        <v>199</v>
      </c>
      <c r="C5" s="39">
        <v>174</v>
      </c>
      <c r="G5">
        <v>154</v>
      </c>
    </row>
    <row r="6" spans="1:7" x14ac:dyDescent="0.45">
      <c r="B6" s="52" t="s">
        <v>200</v>
      </c>
      <c r="C6" s="39"/>
      <c r="G6">
        <v>174</v>
      </c>
    </row>
    <row r="7" spans="1:7" x14ac:dyDescent="0.45">
      <c r="B7" s="52" t="s">
        <v>201</v>
      </c>
      <c r="C7" s="39">
        <v>177</v>
      </c>
      <c r="G7">
        <v>161</v>
      </c>
    </row>
    <row r="8" spans="1:7" x14ac:dyDescent="0.45">
      <c r="B8" s="52" t="s">
        <v>202</v>
      </c>
      <c r="C8" s="39"/>
      <c r="G8">
        <v>177</v>
      </c>
    </row>
    <row r="9" spans="1:7" x14ac:dyDescent="0.45">
      <c r="B9" s="52" t="s">
        <v>203</v>
      </c>
      <c r="C9" s="39">
        <v>209</v>
      </c>
      <c r="G9">
        <v>184</v>
      </c>
    </row>
    <row r="10" spans="1:7" x14ac:dyDescent="0.45">
      <c r="B10" s="52" t="s">
        <v>204</v>
      </c>
      <c r="C10" s="39">
        <v>225</v>
      </c>
      <c r="G10">
        <v>209</v>
      </c>
    </row>
    <row r="11" spans="1:7" x14ac:dyDescent="0.45">
      <c r="B11" s="52" t="s">
        <v>205</v>
      </c>
      <c r="C11" s="39">
        <v>245</v>
      </c>
      <c r="G11">
        <v>225</v>
      </c>
    </row>
    <row r="12" spans="1:7" x14ac:dyDescent="0.4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9" x14ac:dyDescent="0.45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5">
      <c r="A1" s="36">
        <v>23</v>
      </c>
      <c r="B1" s="1" t="s">
        <v>213</v>
      </c>
    </row>
    <row r="2" spans="1:10" x14ac:dyDescent="0.45">
      <c r="A2" s="37" t="s">
        <v>2</v>
      </c>
    </row>
    <row r="3" spans="1:10" x14ac:dyDescent="0.45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45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45">
      <c r="B5" s="39" t="s">
        <v>217</v>
      </c>
      <c r="C5" s="39" t="s">
        <v>92</v>
      </c>
      <c r="D5" s="39">
        <v>6200</v>
      </c>
    </row>
    <row r="6" spans="1:10" x14ac:dyDescent="0.45">
      <c r="B6" s="39" t="s">
        <v>218</v>
      </c>
      <c r="C6" s="39" t="s">
        <v>94</v>
      </c>
      <c r="D6" s="39">
        <v>31500</v>
      </c>
    </row>
    <row r="7" spans="1:10" x14ac:dyDescent="0.45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45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45">
      <c r="B9" s="39" t="s">
        <v>222</v>
      </c>
      <c r="C9" s="39" t="s">
        <v>94</v>
      </c>
      <c r="D9" s="39">
        <v>7200</v>
      </c>
    </row>
    <row r="10" spans="1:10" x14ac:dyDescent="0.45">
      <c r="B10" s="39" t="s">
        <v>223</v>
      </c>
      <c r="C10" s="39" t="s">
        <v>90</v>
      </c>
      <c r="D10" s="39">
        <v>27500</v>
      </c>
    </row>
    <row r="11" spans="1:10" x14ac:dyDescent="0.45">
      <c r="B11" s="39" t="s">
        <v>224</v>
      </c>
      <c r="C11" s="39" t="s">
        <v>92</v>
      </c>
      <c r="D11" s="39">
        <v>6400</v>
      </c>
    </row>
    <row r="12" spans="1:10" x14ac:dyDescent="0.45">
      <c r="B12" s="39" t="s">
        <v>225</v>
      </c>
      <c r="C12" s="39" t="s">
        <v>94</v>
      </c>
      <c r="D12" s="39">
        <v>5900</v>
      </c>
    </row>
    <row r="13" spans="1:10" x14ac:dyDescent="0.45">
      <c r="B13" s="39" t="s">
        <v>219</v>
      </c>
      <c r="C13" s="39" t="s">
        <v>90</v>
      </c>
      <c r="D13" s="39">
        <v>25500</v>
      </c>
    </row>
    <row r="15" spans="1:10" x14ac:dyDescent="0.45">
      <c r="A15" s="37" t="s">
        <v>2</v>
      </c>
    </row>
    <row r="17" spans="2:9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45">
      <c r="B18" s="39" t="s">
        <v>226</v>
      </c>
      <c r="C18" s="39" t="s">
        <v>90</v>
      </c>
      <c r="D18" s="39">
        <v>34000</v>
      </c>
      <c r="F18" s="4" t="s">
        <v>226</v>
      </c>
      <c r="G18" s="4"/>
    </row>
    <row r="19" spans="2:9" x14ac:dyDescent="0.45">
      <c r="B19" s="39" t="s">
        <v>227</v>
      </c>
      <c r="C19" s="39" t="s">
        <v>92</v>
      </c>
      <c r="D19" s="39">
        <v>5000</v>
      </c>
    </row>
    <row r="20" spans="2:9" x14ac:dyDescent="0.45">
      <c r="B20" s="39" t="s">
        <v>228</v>
      </c>
      <c r="C20" s="39" t="s">
        <v>94</v>
      </c>
      <c r="D20" s="39">
        <v>76000</v>
      </c>
    </row>
    <row r="21" spans="2:9" x14ac:dyDescent="0.45">
      <c r="B21" s="39" t="s">
        <v>229</v>
      </c>
      <c r="C21" s="39" t="s">
        <v>90</v>
      </c>
      <c r="D21" s="39">
        <v>45000</v>
      </c>
    </row>
    <row r="22" spans="2:9" x14ac:dyDescent="0.45">
      <c r="B22" s="39" t="s">
        <v>230</v>
      </c>
      <c r="C22" s="39" t="s">
        <v>92</v>
      </c>
      <c r="D22" s="39">
        <v>8700</v>
      </c>
    </row>
    <row r="23" spans="2:9" x14ac:dyDescent="0.45">
      <c r="B23" s="39" t="s">
        <v>228</v>
      </c>
      <c r="C23" s="39" t="s">
        <v>94</v>
      </c>
      <c r="D23" s="39">
        <v>5600</v>
      </c>
    </row>
    <row r="24" spans="2:9" x14ac:dyDescent="0.45">
      <c r="B24" s="39" t="s">
        <v>231</v>
      </c>
      <c r="C24" s="39" t="s">
        <v>90</v>
      </c>
      <c r="D24" s="39">
        <v>45000</v>
      </c>
    </row>
    <row r="25" spans="2:9" x14ac:dyDescent="0.45">
      <c r="B25" s="39" t="s">
        <v>232</v>
      </c>
      <c r="C25" s="39" t="s">
        <v>92</v>
      </c>
      <c r="D25" s="39">
        <v>5600</v>
      </c>
    </row>
    <row r="26" spans="2:9" x14ac:dyDescent="0.45">
      <c r="B26" s="39" t="s">
        <v>228</v>
      </c>
      <c r="C26" s="39" t="s">
        <v>94</v>
      </c>
      <c r="D26" s="39">
        <v>5600</v>
      </c>
    </row>
    <row r="27" spans="2:9" x14ac:dyDescent="0.45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9" x14ac:dyDescent="0.45"/>
  <cols>
    <col min="2" max="2" width="14" customWidth="1"/>
    <col min="6" max="7" width="14" customWidth="1"/>
    <col min="8" max="8" width="12.59765625" customWidth="1"/>
    <col min="9" max="9" width="13.265625" bestFit="1" customWidth="1"/>
  </cols>
  <sheetData>
    <row r="1" spans="1:11" s="2" customFormat="1" ht="32.65" customHeight="1" thickBot="1" x14ac:dyDescent="0.5">
      <c r="A1" s="36">
        <v>24</v>
      </c>
      <c r="B1" s="1" t="s">
        <v>234</v>
      </c>
    </row>
    <row r="2" spans="1:11" x14ac:dyDescent="0.45">
      <c r="A2" s="37" t="s">
        <v>2</v>
      </c>
    </row>
    <row r="3" spans="1:11" x14ac:dyDescent="0.45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45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45">
      <c r="B5" s="39" t="s">
        <v>237</v>
      </c>
      <c r="C5" s="39" t="s">
        <v>92</v>
      </c>
      <c r="D5" s="39">
        <v>6200</v>
      </c>
    </row>
    <row r="6" spans="1:11" x14ac:dyDescent="0.45">
      <c r="B6" s="39" t="s">
        <v>238</v>
      </c>
      <c r="C6" s="39" t="s">
        <v>94</v>
      </c>
      <c r="D6" s="39">
        <v>31500</v>
      </c>
    </row>
    <row r="7" spans="1:11" x14ac:dyDescent="0.45">
      <c r="B7" s="39" t="s">
        <v>235</v>
      </c>
      <c r="C7" s="39" t="s">
        <v>90</v>
      </c>
      <c r="D7" s="39">
        <v>28500</v>
      </c>
    </row>
    <row r="8" spans="1:11" x14ac:dyDescent="0.45">
      <c r="B8" s="39" t="s">
        <v>237</v>
      </c>
      <c r="C8" s="39" t="s">
        <v>92</v>
      </c>
      <c r="D8" s="39">
        <v>9400</v>
      </c>
    </row>
    <row r="9" spans="1:11" x14ac:dyDescent="0.45">
      <c r="B9" s="39" t="s">
        <v>238</v>
      </c>
      <c r="C9" s="39" t="s">
        <v>94</v>
      </c>
      <c r="D9" s="39">
        <v>7200</v>
      </c>
    </row>
    <row r="10" spans="1:11" x14ac:dyDescent="0.45">
      <c r="B10" s="39" t="s">
        <v>235</v>
      </c>
      <c r="C10" s="39" t="s">
        <v>90</v>
      </c>
      <c r="D10" s="39">
        <v>27500</v>
      </c>
    </row>
    <row r="11" spans="1:11" x14ac:dyDescent="0.45">
      <c r="B11" s="39" t="s">
        <v>237</v>
      </c>
      <c r="C11" s="39" t="s">
        <v>92</v>
      </c>
      <c r="D11" s="39">
        <v>6400</v>
      </c>
    </row>
    <row r="12" spans="1:11" x14ac:dyDescent="0.45">
      <c r="B12" s="39" t="s">
        <v>239</v>
      </c>
      <c r="C12" s="39" t="s">
        <v>94</v>
      </c>
      <c r="D12" s="39">
        <v>5900</v>
      </c>
    </row>
    <row r="13" spans="1:11" x14ac:dyDescent="0.45">
      <c r="B13" s="39" t="s">
        <v>235</v>
      </c>
      <c r="C13" s="39" t="s">
        <v>90</v>
      </c>
      <c r="D13" s="39">
        <v>25500</v>
      </c>
    </row>
    <row r="17" spans="2:9" x14ac:dyDescent="0.45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45">
      <c r="B18" s="39" t="s">
        <v>240</v>
      </c>
      <c r="C18" s="39" t="s">
        <v>90</v>
      </c>
      <c r="D18" s="39">
        <v>34000</v>
      </c>
      <c r="F18" s="39" t="s">
        <v>156</v>
      </c>
      <c r="G18" s="4"/>
      <c r="H18" s="4"/>
    </row>
    <row r="19" spans="2:9" x14ac:dyDescent="0.45">
      <c r="B19" s="39" t="s">
        <v>237</v>
      </c>
      <c r="C19" s="39" t="s">
        <v>92</v>
      </c>
      <c r="D19" s="39">
        <v>5000</v>
      </c>
    </row>
    <row r="20" spans="2:9" x14ac:dyDescent="0.45">
      <c r="B20" s="39" t="s">
        <v>155</v>
      </c>
      <c r="C20" s="39" t="s">
        <v>94</v>
      </c>
      <c r="D20" s="39">
        <v>76000</v>
      </c>
    </row>
    <row r="21" spans="2:9" x14ac:dyDescent="0.45">
      <c r="B21" s="39" t="s">
        <v>156</v>
      </c>
      <c r="C21" s="39" t="s">
        <v>90</v>
      </c>
      <c r="D21" s="39">
        <v>45000</v>
      </c>
    </row>
    <row r="22" spans="2:9" x14ac:dyDescent="0.45">
      <c r="B22" s="39" t="s">
        <v>239</v>
      </c>
      <c r="C22" s="39" t="s">
        <v>92</v>
      </c>
      <c r="D22" s="39">
        <v>8700</v>
      </c>
    </row>
    <row r="23" spans="2:9" x14ac:dyDescent="0.45">
      <c r="B23" s="39" t="s">
        <v>155</v>
      </c>
      <c r="C23" s="39" t="s">
        <v>94</v>
      </c>
      <c r="D23" s="39">
        <v>5600</v>
      </c>
    </row>
    <row r="24" spans="2:9" x14ac:dyDescent="0.45">
      <c r="B24" s="39" t="s">
        <v>156</v>
      </c>
      <c r="C24" s="39" t="s">
        <v>90</v>
      </c>
      <c r="D24" s="39">
        <v>45000</v>
      </c>
    </row>
    <row r="25" spans="2:9" x14ac:dyDescent="0.45">
      <c r="B25" s="39" t="s">
        <v>241</v>
      </c>
      <c r="C25" s="39" t="s">
        <v>92</v>
      </c>
      <c r="D25" s="39">
        <v>5600</v>
      </c>
    </row>
    <row r="26" spans="2:9" x14ac:dyDescent="0.45">
      <c r="B26" s="39" t="s">
        <v>242</v>
      </c>
      <c r="C26" s="39" t="s">
        <v>94</v>
      </c>
      <c r="D26" s="39">
        <v>5600</v>
      </c>
    </row>
    <row r="27" spans="2:9" x14ac:dyDescent="0.45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4" max="5" width="10.26562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5">
      <c r="A1" s="36">
        <v>25</v>
      </c>
      <c r="B1" s="1" t="s">
        <v>243</v>
      </c>
    </row>
    <row r="2" spans="1:9" x14ac:dyDescent="0.45">
      <c r="A2" s="37" t="s">
        <v>2</v>
      </c>
    </row>
    <row r="3" spans="1:9" x14ac:dyDescent="0.45">
      <c r="B3" s="136" t="s">
        <v>244</v>
      </c>
      <c r="C3" s="22">
        <f>SUBTOTAL(109,D6:D14)</f>
        <v>10</v>
      </c>
      <c r="E3" s="3" t="s">
        <v>245</v>
      </c>
      <c r="F3" s="22"/>
      <c r="H3" s="3" t="s">
        <v>246</v>
      </c>
      <c r="I3" s="22">
        <f>SUBTOTAL(2,F6:F14)</f>
        <v>2</v>
      </c>
    </row>
    <row r="5" spans="1:9" x14ac:dyDescent="0.45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45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45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45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45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45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45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45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45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45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45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26</v>
      </c>
      <c r="B1" s="1" t="s">
        <v>247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45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45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45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45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45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45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45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45">
      <c r="B13" s="3" t="s">
        <v>249</v>
      </c>
      <c r="C13" s="3" t="s">
        <v>250</v>
      </c>
      <c r="D13" s="3" t="s">
        <v>248</v>
      </c>
    </row>
    <row r="14" spans="1:7" x14ac:dyDescent="0.45">
      <c r="B14" s="4">
        <v>200</v>
      </c>
      <c r="C14" s="4">
        <v>140</v>
      </c>
      <c r="D14" s="23">
        <f>C14/B14</f>
        <v>0.7</v>
      </c>
    </row>
    <row r="17" spans="2:7" x14ac:dyDescent="0.45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45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45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45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45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45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45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45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45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9.46484375" customWidth="1"/>
    <col min="3" max="3" width="9.46484375" customWidth="1"/>
    <col min="6" max="6" width="18.265625" bestFit="1" customWidth="1"/>
  </cols>
  <sheetData>
    <row r="1" spans="1:7" s="2" customFormat="1" ht="32.65" customHeight="1" thickBot="1" x14ac:dyDescent="0.5">
      <c r="A1" s="36">
        <v>27</v>
      </c>
      <c r="B1" s="1" t="s">
        <v>263</v>
      </c>
    </row>
    <row r="2" spans="1:7" x14ac:dyDescent="0.45">
      <c r="A2" s="37" t="s">
        <v>2</v>
      </c>
    </row>
    <row r="3" spans="1:7" x14ac:dyDescent="0.45">
      <c r="B3" s="3" t="s">
        <v>83</v>
      </c>
      <c r="C3" s="3" t="s">
        <v>127</v>
      </c>
      <c r="F3" s="38"/>
      <c r="G3" s="38"/>
    </row>
    <row r="4" spans="1:7" x14ac:dyDescent="0.45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45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45">
      <c r="B6" t="s">
        <v>266</v>
      </c>
      <c r="C6">
        <v>60</v>
      </c>
      <c r="D6" s="24" t="e" vm="1">
        <f t="shared" ca="1" si="0"/>
        <v>#NAME?</v>
      </c>
    </row>
    <row r="7" spans="1:7" x14ac:dyDescent="0.45">
      <c r="B7" t="s">
        <v>267</v>
      </c>
      <c r="C7">
        <v>40</v>
      </c>
      <c r="D7" s="24" t="e" vm="1">
        <f t="shared" ca="1" si="0"/>
        <v>#NAME?</v>
      </c>
    </row>
    <row r="8" spans="1:7" x14ac:dyDescent="0.45">
      <c r="B8" t="s">
        <v>268</v>
      </c>
      <c r="C8">
        <v>25</v>
      </c>
      <c r="D8" s="24" t="e" vm="1">
        <f t="shared" ca="1" si="0"/>
        <v>#NAME?</v>
      </c>
    </row>
    <row r="9" spans="1:7" x14ac:dyDescent="0.45">
      <c r="B9" t="s">
        <v>269</v>
      </c>
      <c r="C9">
        <v>35</v>
      </c>
      <c r="D9" s="24" t="e" vm="1">
        <f t="shared" ca="1" si="0"/>
        <v>#NAME?</v>
      </c>
    </row>
    <row r="10" spans="1:7" x14ac:dyDescent="0.45">
      <c r="B10" t="s">
        <v>270</v>
      </c>
      <c r="C10">
        <v>350</v>
      </c>
      <c r="D10" s="24" t="e" vm="1">
        <f t="shared" ca="1" si="0"/>
        <v>#NAME?</v>
      </c>
    </row>
    <row r="11" spans="1:7" x14ac:dyDescent="0.45">
      <c r="B11" t="s">
        <v>271</v>
      </c>
      <c r="C11">
        <v>70</v>
      </c>
      <c r="D11" s="24" t="e" vm="1">
        <f t="shared" ca="1" si="0"/>
        <v>#NAME?</v>
      </c>
    </row>
    <row r="12" spans="1:7" x14ac:dyDescent="0.45">
      <c r="B12" t="s">
        <v>272</v>
      </c>
      <c r="C12">
        <v>90</v>
      </c>
      <c r="D12" s="24" t="e" vm="1">
        <f t="shared" ca="1" si="0"/>
        <v>#NAME?</v>
      </c>
    </row>
    <row r="13" spans="1:7" x14ac:dyDescent="0.45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9" x14ac:dyDescent="0.45"/>
  <cols>
    <col min="2" max="2" width="14" customWidth="1"/>
    <col min="3" max="3" width="9.46484375" customWidth="1"/>
    <col min="5" max="5" width="16.265625" bestFit="1" customWidth="1"/>
  </cols>
  <sheetData>
    <row r="1" spans="1:5" s="2" customFormat="1" ht="32.65" customHeight="1" thickBot="1" x14ac:dyDescent="0.5">
      <c r="A1" s="36">
        <v>28</v>
      </c>
      <c r="B1" s="1" t="s">
        <v>273</v>
      </c>
    </row>
    <row r="2" spans="1:5" x14ac:dyDescent="0.45">
      <c r="A2" s="37" t="s">
        <v>2</v>
      </c>
    </row>
    <row r="3" spans="1:5" x14ac:dyDescent="0.45">
      <c r="B3" s="40" t="s">
        <v>83</v>
      </c>
      <c r="C3" s="40" t="s">
        <v>209</v>
      </c>
      <c r="E3" s="38"/>
    </row>
    <row r="4" spans="1:5" x14ac:dyDescent="0.45">
      <c r="B4" s="39" t="s">
        <v>274</v>
      </c>
      <c r="C4" s="39">
        <f ca="1">RAND()</f>
        <v>0.10073712862866202</v>
      </c>
    </row>
    <row r="5" spans="1:5" x14ac:dyDescent="0.45">
      <c r="B5" s="39" t="s">
        <v>215</v>
      </c>
      <c r="C5" s="39">
        <f t="shared" ref="C5:C12" ca="1" si="0">RAND()</f>
        <v>0.28993655494029524</v>
      </c>
    </row>
    <row r="6" spans="1:5" x14ac:dyDescent="0.45">
      <c r="B6" s="39" t="s">
        <v>275</v>
      </c>
      <c r="C6" s="39">
        <f t="shared" ca="1" si="0"/>
        <v>8.2403555267799522E-2</v>
      </c>
    </row>
    <row r="7" spans="1:5" x14ac:dyDescent="0.45">
      <c r="B7" s="39" t="s">
        <v>276</v>
      </c>
      <c r="C7" s="39">
        <f t="shared" ca="1" si="0"/>
        <v>0.92892344614759259</v>
      </c>
    </row>
    <row r="8" spans="1:5" x14ac:dyDescent="0.45">
      <c r="B8" s="39" t="s">
        <v>277</v>
      </c>
      <c r="C8" s="39">
        <f t="shared" ca="1" si="0"/>
        <v>0.80244234534141234</v>
      </c>
    </row>
    <row r="9" spans="1:5" x14ac:dyDescent="0.45">
      <c r="B9" s="39" t="s">
        <v>278</v>
      </c>
      <c r="C9" s="39">
        <f t="shared" ca="1" si="0"/>
        <v>0.59736525911589422</v>
      </c>
    </row>
    <row r="10" spans="1:5" x14ac:dyDescent="0.45">
      <c r="B10" s="39" t="s">
        <v>222</v>
      </c>
      <c r="C10" s="39">
        <f t="shared" ca="1" si="0"/>
        <v>0.73214938710416178</v>
      </c>
    </row>
    <row r="11" spans="1:5" x14ac:dyDescent="0.45">
      <c r="B11" s="39" t="s">
        <v>224</v>
      </c>
      <c r="C11" s="39">
        <f t="shared" ca="1" si="0"/>
        <v>0.39137452241908099</v>
      </c>
    </row>
    <row r="12" spans="1:5" x14ac:dyDescent="0.45">
      <c r="B12" s="39" t="s">
        <v>279</v>
      </c>
      <c r="C12" s="39">
        <f t="shared" ca="1" si="0"/>
        <v>0.70623939868698848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29</v>
      </c>
      <c r="B1" s="1" t="s">
        <v>280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15</v>
      </c>
      <c r="D4" s="4">
        <v>5</v>
      </c>
      <c r="E4" s="4">
        <v>89</v>
      </c>
      <c r="F4" s="4"/>
      <c r="G4" s="26"/>
    </row>
    <row r="5" spans="1:7" x14ac:dyDescent="0.45">
      <c r="B5" s="52" t="s">
        <v>201</v>
      </c>
      <c r="C5" s="4">
        <v>16</v>
      </c>
      <c r="D5" s="4">
        <v>36</v>
      </c>
      <c r="E5" s="4">
        <v>13</v>
      </c>
      <c r="F5" s="4"/>
      <c r="G5" s="26"/>
    </row>
    <row r="6" spans="1:7" x14ac:dyDescent="0.45">
      <c r="B6" s="52" t="s">
        <v>204</v>
      </c>
      <c r="C6" s="4">
        <v>50</v>
      </c>
      <c r="D6" s="4">
        <v>53</v>
      </c>
      <c r="E6" s="4">
        <v>76</v>
      </c>
      <c r="F6" s="4"/>
      <c r="G6" s="26"/>
    </row>
    <row r="7" spans="1:7" x14ac:dyDescent="0.45">
      <c r="B7" s="52" t="s">
        <v>198</v>
      </c>
      <c r="C7" s="4">
        <v>20</v>
      </c>
      <c r="D7" s="4">
        <v>54</v>
      </c>
      <c r="E7" s="4">
        <v>19</v>
      </c>
      <c r="F7" s="4"/>
      <c r="G7" s="26"/>
    </row>
    <row r="8" spans="1:7" x14ac:dyDescent="0.45">
      <c r="B8" s="52" t="s">
        <v>200</v>
      </c>
      <c r="C8" s="4">
        <v>19</v>
      </c>
      <c r="D8" s="4">
        <v>54</v>
      </c>
      <c r="E8" s="4">
        <v>67</v>
      </c>
      <c r="F8" s="4"/>
      <c r="G8" s="26"/>
    </row>
    <row r="9" spans="1:7" x14ac:dyDescent="0.45">
      <c r="B9" s="52" t="s">
        <v>202</v>
      </c>
      <c r="C9" s="4">
        <v>81</v>
      </c>
      <c r="D9" s="4">
        <v>20</v>
      </c>
      <c r="E9" s="4">
        <v>28</v>
      </c>
      <c r="F9" s="4"/>
      <c r="G9" s="26"/>
    </row>
    <row r="10" spans="1:7" x14ac:dyDescent="0.45">
      <c r="B10" s="52" t="s">
        <v>203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45">
      <c r="B11" s="52" t="s">
        <v>199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3.3984375" customWidth="1"/>
    <col min="3" max="3" width="3.19921875" customWidth="1"/>
  </cols>
  <sheetData>
    <row r="1" spans="1:4" s="2" customFormat="1" ht="32.65" customHeight="1" thickBot="1" x14ac:dyDescent="0.5">
      <c r="A1" s="36">
        <v>30</v>
      </c>
      <c r="B1" s="1" t="s">
        <v>281</v>
      </c>
    </row>
    <row r="2" spans="1:4" x14ac:dyDescent="0.45">
      <c r="A2" s="37" t="s">
        <v>2</v>
      </c>
    </row>
    <row r="3" spans="1:4" x14ac:dyDescent="0.45">
      <c r="B3" s="3" t="s">
        <v>282</v>
      </c>
    </row>
    <row r="4" spans="1:4" x14ac:dyDescent="0.45">
      <c r="B4" s="4">
        <v>-2000</v>
      </c>
      <c r="D4">
        <f>ABS(B4)</f>
        <v>2000</v>
      </c>
    </row>
    <row r="5" spans="1:4" x14ac:dyDescent="0.45">
      <c r="B5" s="4">
        <v>5000</v>
      </c>
      <c r="D5">
        <f t="shared" ref="D5:D11" si="0">ABS(B5)</f>
        <v>5000</v>
      </c>
    </row>
    <row r="6" spans="1:4" x14ac:dyDescent="0.45">
      <c r="B6" s="4">
        <v>10000</v>
      </c>
      <c r="D6">
        <f t="shared" si="0"/>
        <v>10000</v>
      </c>
    </row>
    <row r="7" spans="1:4" x14ac:dyDescent="0.45">
      <c r="B7" s="4">
        <v>-5000</v>
      </c>
      <c r="D7">
        <f t="shared" si="0"/>
        <v>5000</v>
      </c>
    </row>
    <row r="8" spans="1:4" x14ac:dyDescent="0.45">
      <c r="B8" s="4">
        <v>-12000</v>
      </c>
      <c r="D8">
        <f t="shared" si="0"/>
        <v>12000</v>
      </c>
    </row>
    <row r="9" spans="1:4" x14ac:dyDescent="0.45">
      <c r="B9" s="4">
        <v>-2500</v>
      </c>
      <c r="D9">
        <f t="shared" si="0"/>
        <v>2500</v>
      </c>
    </row>
    <row r="10" spans="1:4" x14ac:dyDescent="0.45">
      <c r="B10" s="4">
        <v>1500</v>
      </c>
      <c r="D10">
        <f t="shared" si="0"/>
        <v>1500</v>
      </c>
    </row>
    <row r="11" spans="1:4" x14ac:dyDescent="0.45">
      <c r="B11" s="4">
        <v>-1350</v>
      </c>
      <c r="D11">
        <f t="shared" si="0"/>
        <v>1350</v>
      </c>
    </row>
    <row r="12" spans="1:4" x14ac:dyDescent="0.4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7.464843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6">
        <v>31</v>
      </c>
      <c r="B1" s="1" t="s">
        <v>283</v>
      </c>
    </row>
    <row r="2" spans="1:7" x14ac:dyDescent="0.45">
      <c r="A2" s="37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45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45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45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45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45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45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45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5">
      <c r="A1" s="36">
        <v>32</v>
      </c>
      <c r="B1" s="1" t="s">
        <v>284</v>
      </c>
    </row>
    <row r="2" spans="1:7" x14ac:dyDescent="0.45">
      <c r="A2" s="37" t="s">
        <v>2</v>
      </c>
    </row>
    <row r="3" spans="1:7" x14ac:dyDescent="0.45">
      <c r="B3" s="3" t="s">
        <v>285</v>
      </c>
      <c r="C3" s="3"/>
      <c r="E3" s="3" t="s">
        <v>286</v>
      </c>
      <c r="F3" s="3"/>
      <c r="G3" s="3"/>
    </row>
    <row r="4" spans="1:7" x14ac:dyDescent="0.45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45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45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45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45">
      <c r="B9" s="3" t="s">
        <v>96</v>
      </c>
      <c r="C9" s="3"/>
      <c r="E9" s="3" t="s">
        <v>286</v>
      </c>
      <c r="F9" s="3"/>
    </row>
    <row r="10" spans="1:7" x14ac:dyDescent="0.45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45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45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45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19921875" customWidth="1"/>
    <col min="3" max="3" width="15.86328125" bestFit="1" customWidth="1"/>
    <col min="5" max="5" width="13.265625" bestFit="1" customWidth="1"/>
  </cols>
  <sheetData>
    <row r="1" spans="1:5" s="2" customFormat="1" ht="32.65" customHeight="1" thickBot="1" x14ac:dyDescent="0.5">
      <c r="A1" s="36">
        <v>33</v>
      </c>
      <c r="B1" s="1" t="s">
        <v>287</v>
      </c>
    </row>
    <row r="2" spans="1:5" x14ac:dyDescent="0.45">
      <c r="A2" s="37" t="s">
        <v>2</v>
      </c>
    </row>
    <row r="3" spans="1:5" x14ac:dyDescent="0.45">
      <c r="B3" s="40" t="s">
        <v>83</v>
      </c>
      <c r="C3" s="40" t="s">
        <v>83</v>
      </c>
      <c r="E3" s="38"/>
    </row>
    <row r="4" spans="1:5" x14ac:dyDescent="0.45">
      <c r="B4" s="39" t="s">
        <v>288</v>
      </c>
      <c r="C4" s="39" t="str">
        <f>UPPER(B4)</f>
        <v>BREAD</v>
      </c>
    </row>
    <row r="5" spans="1:5" x14ac:dyDescent="0.45">
      <c r="B5" s="39" t="s">
        <v>135</v>
      </c>
      <c r="C5" s="39" t="str">
        <f t="shared" ref="C5:C12" si="0">UPPER(B5)</f>
        <v>CHIPS</v>
      </c>
    </row>
    <row r="6" spans="1:5" x14ac:dyDescent="0.45">
      <c r="B6" s="39" t="s">
        <v>289</v>
      </c>
      <c r="C6" s="39" t="str">
        <f t="shared" si="0"/>
        <v>JUICE</v>
      </c>
    </row>
    <row r="7" spans="1:5" x14ac:dyDescent="0.45">
      <c r="B7" s="39" t="s">
        <v>290</v>
      </c>
      <c r="C7" s="39" t="str">
        <f t="shared" si="0"/>
        <v>APPLE</v>
      </c>
    </row>
    <row r="8" spans="1:5" x14ac:dyDescent="0.45">
      <c r="B8" s="39" t="s">
        <v>291</v>
      </c>
      <c r="C8" s="39" t="str">
        <f t="shared" si="0"/>
        <v>CAKE</v>
      </c>
    </row>
    <row r="9" spans="1:5" x14ac:dyDescent="0.45">
      <c r="B9" s="39" t="s">
        <v>292</v>
      </c>
      <c r="C9" s="39" t="str">
        <f t="shared" si="0"/>
        <v>RICE</v>
      </c>
    </row>
    <row r="10" spans="1:5" x14ac:dyDescent="0.45">
      <c r="B10" s="39" t="s">
        <v>293</v>
      </c>
      <c r="C10" s="39" t="str">
        <f t="shared" si="0"/>
        <v>JAM</v>
      </c>
    </row>
    <row r="11" spans="1:5" x14ac:dyDescent="0.45">
      <c r="B11" s="39" t="s">
        <v>294</v>
      </c>
      <c r="C11" s="39" t="str">
        <f t="shared" si="0"/>
        <v>NUTS</v>
      </c>
    </row>
    <row r="12" spans="1:5" x14ac:dyDescent="0.45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5">
      <c r="A1" s="36">
        <v>34</v>
      </c>
      <c r="B1" s="1" t="s">
        <v>296</v>
      </c>
    </row>
    <row r="2" spans="1:3" x14ac:dyDescent="0.45">
      <c r="A2" s="37" t="s">
        <v>2</v>
      </c>
    </row>
    <row r="3" spans="1:3" x14ac:dyDescent="0.45">
      <c r="B3" s="40" t="s">
        <v>83</v>
      </c>
      <c r="C3" s="3" t="s">
        <v>83</v>
      </c>
    </row>
    <row r="4" spans="1:3" x14ac:dyDescent="0.45">
      <c r="B4" s="39" t="s">
        <v>297</v>
      </c>
      <c r="C4" s="4" t="str">
        <f>LOWER(B4)</f>
        <v>milk</v>
      </c>
    </row>
    <row r="5" spans="1:3" x14ac:dyDescent="0.45">
      <c r="B5" s="39" t="s">
        <v>298</v>
      </c>
      <c r="C5" s="4" t="str">
        <f t="shared" ref="C5:C12" si="0">LOWER(B5)</f>
        <v>butter</v>
      </c>
    </row>
    <row r="6" spans="1:3" x14ac:dyDescent="0.45">
      <c r="B6" s="39" t="s">
        <v>299</v>
      </c>
      <c r="C6" s="4" t="str">
        <f t="shared" si="0"/>
        <v>cheese</v>
      </c>
    </row>
    <row r="7" spans="1:3" x14ac:dyDescent="0.45">
      <c r="B7" s="39" t="s">
        <v>300</v>
      </c>
      <c r="C7" s="4" t="str">
        <f t="shared" si="0"/>
        <v>curd</v>
      </c>
    </row>
    <row r="8" spans="1:3" x14ac:dyDescent="0.45">
      <c r="B8" s="39" t="s">
        <v>301</v>
      </c>
      <c r="C8" s="4" t="str">
        <f t="shared" si="0"/>
        <v>ghee</v>
      </c>
    </row>
    <row r="9" spans="1:3" x14ac:dyDescent="0.45">
      <c r="B9" s="39" t="s">
        <v>302</v>
      </c>
      <c r="C9" s="4" t="str">
        <f t="shared" si="0"/>
        <v>cream</v>
      </c>
    </row>
    <row r="10" spans="1:3" x14ac:dyDescent="0.45">
      <c r="B10" s="39" t="s">
        <v>303</v>
      </c>
      <c r="C10" s="4" t="str">
        <f t="shared" si="0"/>
        <v>paneer</v>
      </c>
    </row>
    <row r="11" spans="1:3" x14ac:dyDescent="0.45">
      <c r="B11" s="39" t="s">
        <v>304</v>
      </c>
      <c r="C11" s="4" t="str">
        <f t="shared" si="0"/>
        <v>lassi</v>
      </c>
    </row>
    <row r="12" spans="1:3" x14ac:dyDescent="0.45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3" width="14.19921875" customWidth="1"/>
    <col min="5" max="5" width="11.06640625" bestFit="1" customWidth="1"/>
  </cols>
  <sheetData>
    <row r="1" spans="1:3" s="2" customFormat="1" ht="32.65" customHeight="1" thickBot="1" x14ac:dyDescent="0.5">
      <c r="A1" s="36">
        <v>35</v>
      </c>
      <c r="B1" s="1" t="s">
        <v>306</v>
      </c>
    </row>
    <row r="2" spans="1:3" x14ac:dyDescent="0.45">
      <c r="A2" s="37" t="s">
        <v>2</v>
      </c>
    </row>
    <row r="3" spans="1:3" x14ac:dyDescent="0.45">
      <c r="B3" s="42" t="s">
        <v>83</v>
      </c>
      <c r="C3" s="42" t="s">
        <v>83</v>
      </c>
    </row>
    <row r="4" spans="1:3" x14ac:dyDescent="0.45">
      <c r="B4" s="39" t="s">
        <v>307</v>
      </c>
      <c r="C4" s="39" t="str">
        <f t="shared" ref="C4:C12" si="0">PROPER(B4)</f>
        <v>Wallet</v>
      </c>
    </row>
    <row r="5" spans="1:3" x14ac:dyDescent="0.45">
      <c r="B5" s="39" t="s">
        <v>308</v>
      </c>
      <c r="C5" s="39" t="str">
        <f t="shared" si="0"/>
        <v>Sunglasses</v>
      </c>
    </row>
    <row r="6" spans="1:3" x14ac:dyDescent="0.45">
      <c r="B6" s="39" t="s">
        <v>309</v>
      </c>
      <c r="C6" s="39" t="str">
        <f t="shared" si="0"/>
        <v>Watch</v>
      </c>
    </row>
    <row r="7" spans="1:3" x14ac:dyDescent="0.45">
      <c r="B7" s="39" t="s">
        <v>310</v>
      </c>
      <c r="C7" s="39" t="str">
        <f t="shared" si="0"/>
        <v>Belt</v>
      </c>
    </row>
    <row r="8" spans="1:3" x14ac:dyDescent="0.45">
      <c r="B8" s="39" t="s">
        <v>311</v>
      </c>
      <c r="C8" s="39" t="str">
        <f t="shared" si="0"/>
        <v>Shoes</v>
      </c>
    </row>
    <row r="9" spans="1:3" x14ac:dyDescent="0.45">
      <c r="B9" s="39" t="s">
        <v>312</v>
      </c>
      <c r="C9" s="39" t="str">
        <f t="shared" si="0"/>
        <v>Tie</v>
      </c>
    </row>
    <row r="10" spans="1:3" x14ac:dyDescent="0.45">
      <c r="B10" s="39" t="s">
        <v>313</v>
      </c>
      <c r="C10" s="39" t="str">
        <f t="shared" si="0"/>
        <v>Backpack</v>
      </c>
    </row>
    <row r="11" spans="1:3" x14ac:dyDescent="0.45">
      <c r="B11" s="39" t="s">
        <v>314</v>
      </c>
      <c r="C11" s="39" t="str">
        <f t="shared" si="0"/>
        <v>Cap</v>
      </c>
    </row>
    <row r="12" spans="1:3" x14ac:dyDescent="0.45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36</v>
      </c>
      <c r="B1" s="1" t="s">
        <v>316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37</v>
      </c>
      <c r="B1" s="1" t="s">
        <v>333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4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45">
      <c r="B10" t="s">
        <v>96</v>
      </c>
    </row>
    <row r="11" spans="1:5" x14ac:dyDescent="0.45">
      <c r="B11">
        <v>550</v>
      </c>
      <c r="C11" t="str">
        <f>"Price is = "&amp;B11</f>
        <v>Price is = 550</v>
      </c>
    </row>
    <row r="12" spans="1:5" x14ac:dyDescent="0.45">
      <c r="B12">
        <v>345</v>
      </c>
      <c r="C12" t="str">
        <f>"Price is = "&amp;B12</f>
        <v>Price is = 345</v>
      </c>
    </row>
    <row r="13" spans="1:5" x14ac:dyDescent="0.4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6">
        <v>38</v>
      </c>
      <c r="B1" s="1" t="s">
        <v>334</v>
      </c>
    </row>
    <row r="2" spans="1:5" x14ac:dyDescent="0.45">
      <c r="A2" s="37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45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5" s="2" customFormat="1" ht="32.65" customHeight="1" thickBot="1" x14ac:dyDescent="0.5">
      <c r="A1" s="36">
        <v>39</v>
      </c>
      <c r="B1" s="1" t="s">
        <v>335</v>
      </c>
    </row>
    <row r="2" spans="1:5" x14ac:dyDescent="0.45">
      <c r="A2" s="37" t="s">
        <v>2</v>
      </c>
    </row>
    <row r="3" spans="1:5" x14ac:dyDescent="0.45">
      <c r="B3" s="3" t="s">
        <v>336</v>
      </c>
      <c r="C3" s="3" t="s">
        <v>337</v>
      </c>
    </row>
    <row r="4" spans="1:5" x14ac:dyDescent="0.45">
      <c r="B4" s="4" t="s">
        <v>338</v>
      </c>
      <c r="C4" s="4" t="str">
        <f>LEFT(B4,6)</f>
        <v>110062</v>
      </c>
    </row>
    <row r="5" spans="1:5" x14ac:dyDescent="0.45">
      <c r="B5" s="4" t="s">
        <v>339</v>
      </c>
      <c r="C5" s="4" t="str">
        <f>LEFT(B5,6)</f>
        <v>121102</v>
      </c>
    </row>
    <row r="6" spans="1:5" x14ac:dyDescent="0.45">
      <c r="B6" s="4" t="s">
        <v>340</v>
      </c>
      <c r="C6" s="4" t="str">
        <f>LEFT(B6,6)</f>
        <v>140003</v>
      </c>
    </row>
    <row r="7" spans="1:5" x14ac:dyDescent="0.45">
      <c r="B7" s="4" t="s">
        <v>341</v>
      </c>
      <c r="C7" s="4" t="str">
        <f>LEFT(B7,6)</f>
        <v>121102</v>
      </c>
    </row>
    <row r="9" spans="1:5" x14ac:dyDescent="0.45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45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4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40</v>
      </c>
      <c r="B1" s="1" t="s">
        <v>345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str">
        <f>RIGHT(B4,10)</f>
        <v>9999999999</v>
      </c>
    </row>
    <row r="5" spans="1:3" x14ac:dyDescent="0.45">
      <c r="B5" s="4" t="s">
        <v>339</v>
      </c>
      <c r="C5" s="4" t="str">
        <f>RIGHT(B5,10)</f>
        <v>4444444444</v>
      </c>
    </row>
    <row r="6" spans="1:3" x14ac:dyDescent="0.45">
      <c r="B6" s="4" t="s">
        <v>340</v>
      </c>
      <c r="C6" s="4" t="str">
        <f>RIGHT(B6,10)</f>
        <v>3333333333</v>
      </c>
    </row>
    <row r="7" spans="1:3" x14ac:dyDescent="0.45">
      <c r="B7" s="4" t="s">
        <v>341</v>
      </c>
      <c r="C7" s="4" t="str">
        <f>RIGHT(B7,10)</f>
        <v>4456555555</v>
      </c>
    </row>
    <row r="8" spans="1:3" x14ac:dyDescent="0.45">
      <c r="C8" s="4" t="str">
        <f>RIGHT(B8,10)</f>
        <v/>
      </c>
    </row>
    <row r="9" spans="1:3" x14ac:dyDescent="0.45">
      <c r="B9" t="s">
        <v>346</v>
      </c>
    </row>
    <row r="10" spans="1:3" x14ac:dyDescent="0.45">
      <c r="B10">
        <v>91224567890</v>
      </c>
      <c r="C10" t="str">
        <f>LEFT(B10,4)&amp;"****"&amp;RIGHT(B10,3)</f>
        <v>9122****890</v>
      </c>
    </row>
    <row r="11" spans="1:3" x14ac:dyDescent="0.45">
      <c r="B11">
        <v>91224567891</v>
      </c>
      <c r="C11" t="str">
        <f>LEFT(B11,4)&amp;"****"&amp;RIGHT(B11,3)</f>
        <v>9122****891</v>
      </c>
    </row>
    <row r="12" spans="1:3" x14ac:dyDescent="0.45">
      <c r="B12">
        <v>91224567892</v>
      </c>
      <c r="C12" t="str">
        <f>LEFT(B12,4)&amp;"****"&amp;RIGHT(B12,3)</f>
        <v>9122****892</v>
      </c>
    </row>
    <row r="13" spans="1:3" x14ac:dyDescent="0.4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41</v>
      </c>
      <c r="B1" s="1" t="s">
        <v>347</v>
      </c>
    </row>
    <row r="2" spans="1:3" x14ac:dyDescent="0.45">
      <c r="A2" s="37" t="s">
        <v>2</v>
      </c>
    </row>
    <row r="3" spans="1:3" x14ac:dyDescent="0.45">
      <c r="B3" s="3" t="s">
        <v>348</v>
      </c>
      <c r="C3" s="3"/>
    </row>
    <row r="4" spans="1:3" x14ac:dyDescent="0.45">
      <c r="B4" s="4" t="s">
        <v>349</v>
      </c>
      <c r="C4" s="4" t="str">
        <f>MID(B4,7,7)</f>
        <v>2343454</v>
      </c>
    </row>
    <row r="5" spans="1:3" x14ac:dyDescent="0.45">
      <c r="B5" s="4" t="s">
        <v>350</v>
      </c>
      <c r="C5" s="4" t="str">
        <f>MID(B5,7,7)</f>
        <v>2343455</v>
      </c>
    </row>
    <row r="6" spans="1:3" x14ac:dyDescent="0.45">
      <c r="B6" s="4" t="s">
        <v>351</v>
      </c>
      <c r="C6" s="4" t="str">
        <f>MID(B6,7,7)</f>
        <v>2343456</v>
      </c>
    </row>
    <row r="7" spans="1:3" x14ac:dyDescent="0.45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1" max="1" width="10.3984375" bestFit="1" customWidth="1"/>
    <col min="2" max="2" width="25.796875" customWidth="1"/>
    <col min="3" max="3" width="17.3984375" customWidth="1"/>
    <col min="4" max="4" width="17.86328125" customWidth="1"/>
    <col min="5" max="5" width="26.19921875" customWidth="1"/>
  </cols>
  <sheetData>
    <row r="1" spans="1:15" s="2" customFormat="1" ht="32.65" customHeight="1" thickBot="1" x14ac:dyDescent="0.5">
      <c r="A1" s="36">
        <v>42</v>
      </c>
      <c r="B1" s="1" t="s">
        <v>353</v>
      </c>
      <c r="C1" s="1" t="s">
        <v>354</v>
      </c>
    </row>
    <row r="2" spans="1:15" ht="19.5" thickBot="1" x14ac:dyDescent="0.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45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45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45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45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45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45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45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45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45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45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45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45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45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45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45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45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45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45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45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45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45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45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45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45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45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45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45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45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45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45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45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45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45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45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45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45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45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45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45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45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45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45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45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45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45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45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45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45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45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45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45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45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45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45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45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45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45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45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45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45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45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45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45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45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45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45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45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45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45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45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45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45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45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45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45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45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45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45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45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45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45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45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45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45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45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45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45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45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45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45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45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45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45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45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45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45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45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45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45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45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43</v>
      </c>
      <c r="B1" s="1" t="s">
        <v>582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 vm="1">
        <f ca="1">_xlfn.TEXTBEFORE(B4,",",2)</f>
        <v>#NAME?</v>
      </c>
    </row>
    <row r="5" spans="1:3" x14ac:dyDescent="0.45">
      <c r="B5" s="4" t="s">
        <v>339</v>
      </c>
      <c r="C5" s="4" t="e" vm="1">
        <f ca="1">_xlfn.TEXTBEFORE(B5,",",2)</f>
        <v>#NAME?</v>
      </c>
    </row>
    <row r="6" spans="1:3" x14ac:dyDescent="0.45">
      <c r="B6" s="4" t="s">
        <v>340</v>
      </c>
      <c r="C6" s="4" t="e" vm="1">
        <f ca="1">_xlfn.TEXTBEFORE(B6,",",2)</f>
        <v>#NAME?</v>
      </c>
    </row>
    <row r="7" spans="1:3" x14ac:dyDescent="0.45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6">
        <v>44</v>
      </c>
      <c r="B1" s="1" t="s">
        <v>583</v>
      </c>
    </row>
    <row r="2" spans="1:3" x14ac:dyDescent="0.45">
      <c r="A2" s="37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 vm="1">
        <f ca="1">_xlfn.TEXTAFTER(B4,",",2)</f>
        <v>#NAME?</v>
      </c>
    </row>
    <row r="5" spans="1:3" x14ac:dyDescent="0.45">
      <c r="B5" s="4" t="s">
        <v>339</v>
      </c>
      <c r="C5" s="4" t="e" vm="1">
        <f ca="1">_xlfn.TEXTAFTER(B5,",",2)</f>
        <v>#NAME?</v>
      </c>
    </row>
    <row r="6" spans="1:3" x14ac:dyDescent="0.45">
      <c r="B6" s="4" t="s">
        <v>340</v>
      </c>
      <c r="C6" s="4" t="e" vm="1">
        <f ca="1">_xlfn.TEXTAFTER(B6,",",2)</f>
        <v>#NAME?</v>
      </c>
    </row>
    <row r="7" spans="1:3" x14ac:dyDescent="0.45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9.265625" customWidth="1"/>
    <col min="4" max="4" width="16.796875" bestFit="1" customWidth="1"/>
  </cols>
  <sheetData>
    <row r="1" spans="1:2" s="2" customFormat="1" ht="32.65" customHeight="1" thickBot="1" x14ac:dyDescent="0.5">
      <c r="A1" s="36">
        <v>45</v>
      </c>
      <c r="B1" s="1" t="s">
        <v>584</v>
      </c>
    </row>
    <row r="2" spans="1:2" x14ac:dyDescent="0.45">
      <c r="A2" s="37" t="s">
        <v>2</v>
      </c>
    </row>
    <row r="3" spans="1:2" x14ac:dyDescent="0.45">
      <c r="B3" s="3" t="s">
        <v>320</v>
      </c>
    </row>
    <row r="4" spans="1:2" x14ac:dyDescent="0.45">
      <c r="B4" s="4" t="s">
        <v>585</v>
      </c>
    </row>
    <row r="5" spans="1:2" x14ac:dyDescent="0.45">
      <c r="B5" s="4" t="s">
        <v>586</v>
      </c>
    </row>
    <row r="6" spans="1:2" x14ac:dyDescent="0.45">
      <c r="B6" s="4" t="s">
        <v>587</v>
      </c>
    </row>
    <row r="7" spans="1:2" x14ac:dyDescent="0.45">
      <c r="B7" s="20" t="s">
        <v>588</v>
      </c>
    </row>
    <row r="8" spans="1:2" x14ac:dyDescent="0.45">
      <c r="B8" s="39" t="s">
        <v>589</v>
      </c>
    </row>
    <row r="9" spans="1:2" x14ac:dyDescent="0.45">
      <c r="B9" s="5" t="s">
        <v>590</v>
      </c>
    </row>
    <row r="10" spans="1:2" x14ac:dyDescent="0.45">
      <c r="B10" s="4" t="s">
        <v>591</v>
      </c>
    </row>
    <row r="11" spans="1:2" x14ac:dyDescent="0.45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3" max="5" width="7.796875" customWidth="1"/>
    <col min="6" max="6" width="5.86328125" bestFit="1" customWidth="1"/>
  </cols>
  <sheetData>
    <row r="1" spans="1:7" s="2" customFormat="1" ht="32.65" customHeight="1" thickBot="1" x14ac:dyDescent="0.5">
      <c r="A1" s="36">
        <v>46</v>
      </c>
      <c r="B1" s="1" t="s">
        <v>592</v>
      </c>
    </row>
    <row r="2" spans="1:7" x14ac:dyDescent="0.45">
      <c r="A2" s="37" t="s">
        <v>2</v>
      </c>
    </row>
    <row r="3" spans="1:7" x14ac:dyDescent="0.45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45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45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45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45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45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4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4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4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4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33.59765625" customWidth="1"/>
    <col min="3" max="5" width="12.86328125" customWidth="1"/>
    <col min="6" max="6" width="9.59765625" customWidth="1"/>
  </cols>
  <sheetData>
    <row r="1" spans="1:6" s="2" customFormat="1" ht="32.65" customHeight="1" thickBot="1" x14ac:dyDescent="0.5">
      <c r="A1" s="36">
        <v>47</v>
      </c>
      <c r="B1" s="1" t="s">
        <v>594</v>
      </c>
    </row>
    <row r="2" spans="1:6" x14ac:dyDescent="0.45">
      <c r="A2" s="37" t="s">
        <v>2</v>
      </c>
    </row>
    <row r="3" spans="1:6" x14ac:dyDescent="0.45">
      <c r="B3" s="3" t="s">
        <v>336</v>
      </c>
      <c r="C3" s="3"/>
      <c r="D3" s="3"/>
      <c r="E3" s="3"/>
    </row>
    <row r="4" spans="1:6" x14ac:dyDescent="0.45">
      <c r="B4" s="4">
        <v>110062</v>
      </c>
      <c r="C4" s="4" t="s">
        <v>466</v>
      </c>
      <c r="D4" s="4">
        <v>9999999999</v>
      </c>
      <c r="E4" s="4"/>
    </row>
    <row r="5" spans="1:6" x14ac:dyDescent="0.45">
      <c r="B5" s="4">
        <v>121102</v>
      </c>
      <c r="C5" s="4" t="s">
        <v>595</v>
      </c>
      <c r="D5" s="4">
        <v>4444444444</v>
      </c>
      <c r="E5" s="4"/>
    </row>
    <row r="7" spans="1:6" x14ac:dyDescent="0.4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45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45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4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45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45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3" width="15.86328125" customWidth="1"/>
    <col min="4" max="5" width="16" customWidth="1"/>
    <col min="6" max="6" width="9.59765625" customWidth="1"/>
  </cols>
  <sheetData>
    <row r="1" spans="1:5" s="2" customFormat="1" ht="32.65" customHeight="1" thickBot="1" x14ac:dyDescent="0.5">
      <c r="A1" s="36">
        <v>48</v>
      </c>
      <c r="B1" s="1" t="s">
        <v>599</v>
      </c>
    </row>
    <row r="2" spans="1:5" x14ac:dyDescent="0.45">
      <c r="A2" s="37" t="s">
        <v>2</v>
      </c>
    </row>
    <row r="3" spans="1:5" x14ac:dyDescent="0.45">
      <c r="B3" t="s">
        <v>600</v>
      </c>
      <c r="C3" t="s">
        <v>601</v>
      </c>
    </row>
    <row r="4" spans="1:5" x14ac:dyDescent="0.45">
      <c r="B4" s="29">
        <f ca="1">NOW()</f>
        <v>46234.921098611114</v>
      </c>
      <c r="C4" s="30">
        <f ca="1">TODAY()</f>
        <v>46234</v>
      </c>
    </row>
    <row r="9" spans="1:5" x14ac:dyDescent="0.45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45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4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6">
        <v>49</v>
      </c>
      <c r="B1" s="1" t="s">
        <v>606</v>
      </c>
    </row>
    <row r="2" spans="1:5" x14ac:dyDescent="0.45">
      <c r="A2" s="37" t="s">
        <v>2</v>
      </c>
    </row>
    <row r="3" spans="1:5" x14ac:dyDescent="0.45">
      <c r="B3" s="3" t="s">
        <v>141</v>
      </c>
      <c r="C3" s="3"/>
      <c r="D3" s="3"/>
      <c r="E3" s="3"/>
    </row>
    <row r="4" spans="1:5" x14ac:dyDescent="0.45">
      <c r="B4" s="27">
        <f>DATE(2024,1,20)</f>
        <v>45311</v>
      </c>
      <c r="C4" s="4"/>
      <c r="D4" s="4"/>
      <c r="E4" s="4"/>
    </row>
    <row r="5" spans="1:5" x14ac:dyDescent="0.45">
      <c r="B5" s="27">
        <f>DATE(2024,1,20)</f>
        <v>45311</v>
      </c>
      <c r="C5" s="4"/>
      <c r="D5" s="4"/>
      <c r="E5" s="4"/>
    </row>
    <row r="7" spans="1:5" x14ac:dyDescent="0.4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45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45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45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45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45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6">
        <v>50</v>
      </c>
      <c r="B1" s="1" t="s">
        <v>610</v>
      </c>
    </row>
    <row r="2" spans="1:5" x14ac:dyDescent="0.45">
      <c r="A2" s="37" t="s">
        <v>2</v>
      </c>
    </row>
    <row r="3" spans="1:5" x14ac:dyDescent="0.4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45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45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45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45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45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5">
      <c r="A1" s="36">
        <v>51</v>
      </c>
      <c r="B1" s="1" t="s">
        <v>611</v>
      </c>
    </row>
    <row r="2" spans="1:4" x14ac:dyDescent="0.45">
      <c r="A2" s="37" t="s">
        <v>2</v>
      </c>
    </row>
    <row r="3" spans="1:4" x14ac:dyDescent="0.45">
      <c r="B3" s="3" t="s">
        <v>612</v>
      </c>
      <c r="C3" s="3" t="s">
        <v>613</v>
      </c>
      <c r="D3" s="3" t="s">
        <v>614</v>
      </c>
    </row>
    <row r="4" spans="1:4" x14ac:dyDescent="0.45">
      <c r="B4" s="27">
        <v>45323</v>
      </c>
      <c r="C4" s="27">
        <v>45334</v>
      </c>
      <c r="D4" s="4">
        <f>_xlfn.DAYS(C4,B4)</f>
        <v>11</v>
      </c>
    </row>
    <row r="5" spans="1:4" x14ac:dyDescent="0.45">
      <c r="B5" s="27">
        <v>45354</v>
      </c>
      <c r="C5" s="27">
        <v>45371</v>
      </c>
      <c r="D5" s="4">
        <f>_xlfn.DAYS(C5,B5)</f>
        <v>17</v>
      </c>
    </row>
    <row r="6" spans="1:4" x14ac:dyDescent="0.45">
      <c r="B6" s="27">
        <v>45385</v>
      </c>
      <c r="C6" s="27">
        <v>45448</v>
      </c>
      <c r="D6" s="4">
        <f>_xlfn.DAYS(C6,B6)</f>
        <v>63</v>
      </c>
    </row>
    <row r="7" spans="1:4" x14ac:dyDescent="0.45">
      <c r="B7" s="27">
        <v>45416</v>
      </c>
      <c r="C7" s="27">
        <v>45466</v>
      </c>
      <c r="D7" s="4">
        <f>_xlfn.DAYS(C7,B7)</f>
        <v>50</v>
      </c>
    </row>
    <row r="8" spans="1:4" x14ac:dyDescent="0.45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5">
      <c r="A1" s="36">
        <v>52</v>
      </c>
      <c r="B1" s="1" t="s">
        <v>615</v>
      </c>
    </row>
    <row r="2" spans="1:3" x14ac:dyDescent="0.45">
      <c r="A2" s="37" t="s">
        <v>2</v>
      </c>
    </row>
    <row r="3" spans="1:3" x14ac:dyDescent="0.45">
      <c r="B3" s="3" t="s">
        <v>616</v>
      </c>
      <c r="C3" s="3" t="s">
        <v>617</v>
      </c>
    </row>
    <row r="4" spans="1:3" x14ac:dyDescent="0.45">
      <c r="B4" s="27">
        <v>45323</v>
      </c>
      <c r="C4" s="27">
        <f>EDATE(B4,-3)</f>
        <v>45231</v>
      </c>
    </row>
    <row r="5" spans="1:3" x14ac:dyDescent="0.45">
      <c r="B5" s="27">
        <v>45354</v>
      </c>
      <c r="C5" s="27">
        <f>EDATE(B5,3)</f>
        <v>45446</v>
      </c>
    </row>
    <row r="6" spans="1:3" x14ac:dyDescent="0.45">
      <c r="B6" s="27">
        <v>45385</v>
      </c>
      <c r="C6" s="27">
        <f>EDATE(B6,3)</f>
        <v>45476</v>
      </c>
    </row>
    <row r="7" spans="1:3" x14ac:dyDescent="0.45">
      <c r="B7" s="27">
        <v>45416</v>
      </c>
      <c r="C7" s="27">
        <f>EDATE(B7,3)</f>
        <v>45508</v>
      </c>
    </row>
    <row r="8" spans="1:3" x14ac:dyDescent="0.45">
      <c r="B8" s="27">
        <v>45447</v>
      </c>
      <c r="C8" s="27">
        <f>EDATE(B8,3)</f>
        <v>45539</v>
      </c>
    </row>
    <row r="10" spans="1:3" x14ac:dyDescent="0.45">
      <c r="B10" t="s">
        <v>618</v>
      </c>
    </row>
    <row r="11" spans="1:3" x14ac:dyDescent="0.4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5">
      <c r="A1" s="36">
        <v>53</v>
      </c>
      <c r="B1" s="1" t="s">
        <v>620</v>
      </c>
    </row>
    <row r="2" spans="1:3" x14ac:dyDescent="0.45">
      <c r="A2" s="37" t="s">
        <v>2</v>
      </c>
    </row>
    <row r="3" spans="1:3" x14ac:dyDescent="0.45">
      <c r="B3" s="3" t="s">
        <v>616</v>
      </c>
      <c r="C3" s="3" t="s">
        <v>621</v>
      </c>
    </row>
    <row r="4" spans="1:3" x14ac:dyDescent="0.45">
      <c r="B4" s="27">
        <v>45323</v>
      </c>
      <c r="C4" s="27">
        <f>EOMONTH(B4,-1)</f>
        <v>45322</v>
      </c>
    </row>
    <row r="5" spans="1:3" x14ac:dyDescent="0.45">
      <c r="B5" s="27">
        <v>45354</v>
      </c>
      <c r="C5" s="27">
        <f>EOMONTH(B5,-1)</f>
        <v>45351</v>
      </c>
    </row>
    <row r="6" spans="1:3" x14ac:dyDescent="0.45">
      <c r="B6" s="27">
        <v>45385</v>
      </c>
      <c r="C6" s="27">
        <f>EOMONTH(B6,-1)</f>
        <v>45382</v>
      </c>
    </row>
    <row r="7" spans="1:3" x14ac:dyDescent="0.45">
      <c r="B7" s="27">
        <v>45416</v>
      </c>
      <c r="C7" s="27">
        <f>EOMONTH(B7,-1)</f>
        <v>45412</v>
      </c>
    </row>
    <row r="8" spans="1:3" x14ac:dyDescent="0.45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5">
      <c r="A1" s="36">
        <v>54</v>
      </c>
      <c r="B1" s="1" t="s">
        <v>622</v>
      </c>
    </row>
    <row r="2" spans="1:6" x14ac:dyDescent="0.45">
      <c r="A2" s="37" t="s">
        <v>2</v>
      </c>
    </row>
    <row r="3" spans="1:6" x14ac:dyDescent="0.4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45">
      <c r="B4" s="27">
        <v>36557</v>
      </c>
      <c r="C4" s="27">
        <f ca="1">TODAY()</f>
        <v>46234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9677</v>
      </c>
    </row>
    <row r="5" spans="1:6" x14ac:dyDescent="0.45">
      <c r="B5" s="27">
        <v>43893</v>
      </c>
      <c r="C5" s="27">
        <f ca="1">TODAY()</f>
        <v>46234</v>
      </c>
      <c r="D5" s="4">
        <f ca="1">DATEDIF(B5,C5,"y")</f>
        <v>6</v>
      </c>
      <c r="E5" s="4">
        <f ca="1">DATEDIF(B5,C5,"m")</f>
        <v>76</v>
      </c>
      <c r="F5" s="4">
        <f ca="1">DATEDIF(B5,C5,"d")</f>
        <v>2341</v>
      </c>
    </row>
    <row r="6" spans="1:6" x14ac:dyDescent="0.45">
      <c r="B6" s="27">
        <v>37349</v>
      </c>
      <c r="C6" s="27">
        <f ca="1">TODAY()</f>
        <v>46234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8885</v>
      </c>
    </row>
    <row r="7" spans="1:6" x14ac:dyDescent="0.45">
      <c r="B7" s="27">
        <v>39210</v>
      </c>
      <c r="C7" s="27">
        <f ca="1">TODAY()</f>
        <v>46234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7024</v>
      </c>
    </row>
    <row r="8" spans="1:6" x14ac:dyDescent="0.45">
      <c r="B8" s="27">
        <v>38142</v>
      </c>
      <c r="C8" s="27">
        <f ca="1">TODAY()</f>
        <v>46234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8092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5">
      <c r="A1" s="36">
        <v>55</v>
      </c>
      <c r="B1" s="1" t="s">
        <v>628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45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45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45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45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45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6">
        <v>56</v>
      </c>
      <c r="B1" s="1" t="s">
        <v>631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45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45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45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45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45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16.265625" customWidth="1"/>
    <col min="7" max="7" width="19" customWidth="1"/>
  </cols>
  <sheetData>
    <row r="1" spans="1:7" s="2" customFormat="1" ht="32.65" customHeight="1" thickBot="1" x14ac:dyDescent="0.5">
      <c r="A1" s="36">
        <v>57</v>
      </c>
      <c r="B1" s="1" t="s">
        <v>633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45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45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45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45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45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6">
        <v>58</v>
      </c>
      <c r="B1" s="1" t="s">
        <v>636</v>
      </c>
    </row>
    <row r="2" spans="1:7" x14ac:dyDescent="0.45">
      <c r="A2" s="37" t="s">
        <v>2</v>
      </c>
    </row>
    <row r="3" spans="1:7" x14ac:dyDescent="0.4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45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45">
      <c r="B5" s="27">
        <v>45354</v>
      </c>
      <c r="C5" s="27">
        <v>45337</v>
      </c>
      <c r="D5" s="4"/>
      <c r="G5" s="27">
        <v>45519</v>
      </c>
    </row>
    <row r="6" spans="1:7" x14ac:dyDescent="0.45">
      <c r="B6" s="27">
        <v>45385</v>
      </c>
      <c r="C6" s="27">
        <v>45394</v>
      </c>
      <c r="D6" s="4"/>
      <c r="G6" s="27">
        <v>45932</v>
      </c>
    </row>
    <row r="7" spans="1:7" x14ac:dyDescent="0.45">
      <c r="B7" s="27">
        <v>45354</v>
      </c>
      <c r="C7" s="27">
        <v>45337</v>
      </c>
      <c r="D7" s="4"/>
      <c r="G7" s="4"/>
    </row>
    <row r="8" spans="1:7" x14ac:dyDescent="0.45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9" x14ac:dyDescent="0.45"/>
  <cols>
    <col min="2" max="2" width="15.19921875" customWidth="1"/>
    <col min="3" max="3" width="10.19921875" customWidth="1"/>
    <col min="4" max="4" width="10.6640625" bestFit="1" customWidth="1"/>
    <col min="5" max="5" width="3.46484375" customWidth="1"/>
    <col min="6" max="6" width="13.19921875" customWidth="1"/>
    <col min="7" max="7" width="9.59765625" customWidth="1"/>
    <col min="8" max="8" width="25.46484375" customWidth="1"/>
    <col min="10" max="10" width="12.6640625" bestFit="1" customWidth="1"/>
  </cols>
  <sheetData>
    <row r="1" spans="1:10" s="2" customFormat="1" ht="32.65" customHeight="1" thickBot="1" x14ac:dyDescent="0.5">
      <c r="A1" s="36">
        <v>59</v>
      </c>
      <c r="B1" s="1" t="s">
        <v>637</v>
      </c>
    </row>
    <row r="2" spans="1:10" x14ac:dyDescent="0.45">
      <c r="A2" s="37" t="s">
        <v>2</v>
      </c>
    </row>
    <row r="3" spans="1:10" x14ac:dyDescent="0.45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45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45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45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45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45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45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45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45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45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45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45">
      <c r="A15" s="37" t="s">
        <v>2</v>
      </c>
    </row>
    <row r="16" spans="1:10" x14ac:dyDescent="0.45">
      <c r="B16" s="3" t="s">
        <v>638</v>
      </c>
      <c r="C16" s="3" t="s">
        <v>649</v>
      </c>
      <c r="D16" s="147" t="s">
        <v>650</v>
      </c>
      <c r="E16" s="147"/>
      <c r="F16" s="147"/>
    </row>
    <row r="17" spans="2:6" x14ac:dyDescent="0.45">
      <c r="B17" s="27" t="s">
        <v>651</v>
      </c>
      <c r="C17" s="4" t="s">
        <v>652</v>
      </c>
      <c r="D17" s="146" t="str">
        <f>IF(C17="male","Mr. "&amp;B17,"Mis "&amp;B17)</f>
        <v>Mr. Raj Kumar</v>
      </c>
      <c r="E17" s="146"/>
      <c r="F17" s="146"/>
    </row>
    <row r="18" spans="2:6" x14ac:dyDescent="0.45">
      <c r="B18" s="27" t="s">
        <v>500</v>
      </c>
      <c r="C18" s="4" t="s">
        <v>653</v>
      </c>
      <c r="D18" s="146" t="str">
        <f>IF(C18="male","Mr. "&amp;B18,"Mis "&amp;B18)</f>
        <v>Mis Tejal</v>
      </c>
      <c r="E18" s="146"/>
      <c r="F18" s="146"/>
    </row>
    <row r="19" spans="2:6" x14ac:dyDescent="0.45">
      <c r="B19" s="27" t="s">
        <v>654</v>
      </c>
      <c r="C19" s="4" t="s">
        <v>652</v>
      </c>
      <c r="D19" s="146" t="str">
        <f>IF(C19="male","Mr. "&amp;B19,"Mis "&amp;B19)</f>
        <v>Mr. Anil Kumar</v>
      </c>
      <c r="E19" s="146"/>
      <c r="F19" s="146"/>
    </row>
    <row r="20" spans="2:6" x14ac:dyDescent="0.45">
      <c r="B20" s="27" t="s">
        <v>655</v>
      </c>
      <c r="C20" s="4" t="s">
        <v>653</v>
      </c>
      <c r="D20" s="146" t="str">
        <f>IF(C20="male","Mr. "&amp;B20,"Mis "&amp;B20)</f>
        <v>Mis Reena</v>
      </c>
      <c r="E20" s="146"/>
      <c r="F20" s="146"/>
    </row>
    <row r="21" spans="2:6" x14ac:dyDescent="0.45">
      <c r="B21" s="27" t="s">
        <v>545</v>
      </c>
      <c r="C21" s="4" t="s">
        <v>652</v>
      </c>
      <c r="D21" s="146" t="str">
        <f>IF(C21="male","Mr. "&amp;B21,"Mis "&amp;B21)</f>
        <v>Mr. Deepak</v>
      </c>
      <c r="E21" s="146"/>
      <c r="F21" s="146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9" x14ac:dyDescent="0.45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5">
      <c r="A1" s="36">
        <v>60</v>
      </c>
      <c r="B1" s="1" t="s">
        <v>656</v>
      </c>
    </row>
    <row r="2" spans="1:7" x14ac:dyDescent="0.45">
      <c r="A2" s="37" t="s">
        <v>2</v>
      </c>
    </row>
    <row r="3" spans="1:7" x14ac:dyDescent="0.45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45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45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45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45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45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45">
      <c r="B10" s="30" t="s">
        <v>662</v>
      </c>
    </row>
    <row r="14" spans="1:7" x14ac:dyDescent="0.45">
      <c r="A14" s="37" t="s">
        <v>2</v>
      </c>
    </row>
    <row r="16" spans="1:7" x14ac:dyDescent="0.4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45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45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45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45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45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45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45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45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45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9" x14ac:dyDescent="0.45"/>
  <cols>
    <col min="2" max="2" width="14.796875" customWidth="1"/>
    <col min="3" max="3" width="10.796875" customWidth="1"/>
    <col min="4" max="4" width="25.6640625" customWidth="1"/>
    <col min="5" max="5" width="3.46484375" customWidth="1"/>
    <col min="7" max="7" width="13.265625" bestFit="1" customWidth="1"/>
  </cols>
  <sheetData>
    <row r="1" spans="1:7" s="2" customFormat="1" ht="32.65" customHeight="1" thickBot="1" x14ac:dyDescent="0.5">
      <c r="A1" s="36">
        <v>61</v>
      </c>
      <c r="B1" s="1" t="s">
        <v>672</v>
      </c>
    </row>
    <row r="2" spans="1:7" x14ac:dyDescent="0.45">
      <c r="A2" s="37" t="s">
        <v>2</v>
      </c>
    </row>
    <row r="3" spans="1:7" x14ac:dyDescent="0.45">
      <c r="B3" s="40" t="s">
        <v>638</v>
      </c>
      <c r="C3" s="3" t="s">
        <v>673</v>
      </c>
      <c r="D3" s="3" t="s">
        <v>674</v>
      </c>
    </row>
    <row r="4" spans="1:7" x14ac:dyDescent="0.45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45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45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45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45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45">
      <c r="B10" s="30" t="s">
        <v>683</v>
      </c>
    </row>
    <row r="11" spans="1:7" x14ac:dyDescent="0.45">
      <c r="A11" s="37" t="s">
        <v>2</v>
      </c>
    </row>
    <row r="16" spans="1:7" x14ac:dyDescent="0.45">
      <c r="B16" s="3" t="s">
        <v>638</v>
      </c>
      <c r="C16" s="3" t="s">
        <v>684</v>
      </c>
      <c r="D16" s="3" t="s">
        <v>640</v>
      </c>
      <c r="G16" s="38"/>
    </row>
    <row r="17" spans="2:4" x14ac:dyDescent="0.45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45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45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45">
      <c r="B20" s="39" t="s">
        <v>688</v>
      </c>
      <c r="C20" s="4" t="s">
        <v>207</v>
      </c>
      <c r="D20" s="4" t="str">
        <f t="shared" si="0"/>
        <v>fail</v>
      </c>
    </row>
    <row r="21" spans="2:4" x14ac:dyDescent="0.45">
      <c r="B21" s="39" t="s">
        <v>689</v>
      </c>
      <c r="C21" s="33">
        <v>0.77</v>
      </c>
      <c r="D21" s="4" t="str">
        <f t="shared" si="0"/>
        <v>pass</v>
      </c>
    </row>
    <row r="22" spans="2:4" x14ac:dyDescent="0.45">
      <c r="B22" s="39" t="s">
        <v>688</v>
      </c>
      <c r="C22" s="4" t="s">
        <v>207</v>
      </c>
      <c r="D22" s="4" t="str">
        <f t="shared" si="0"/>
        <v>fail</v>
      </c>
    </row>
    <row r="23" spans="2:4" x14ac:dyDescent="0.45">
      <c r="B23" s="39" t="s">
        <v>690</v>
      </c>
      <c r="C23" s="33">
        <v>0.98</v>
      </c>
      <c r="D23" s="4" t="str">
        <f t="shared" si="0"/>
        <v>pass</v>
      </c>
    </row>
    <row r="24" spans="2:4" x14ac:dyDescent="0.45">
      <c r="B24" s="39" t="s">
        <v>688</v>
      </c>
      <c r="C24" s="33">
        <v>0.33</v>
      </c>
      <c r="D24" s="4" t="str">
        <f t="shared" si="0"/>
        <v>fail</v>
      </c>
    </row>
    <row r="26" spans="2:4" x14ac:dyDescent="0.45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9" x14ac:dyDescent="0.45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5">
      <c r="A1" s="36">
        <v>62</v>
      </c>
      <c r="B1" s="1" t="s">
        <v>692</v>
      </c>
    </row>
    <row r="2" spans="1:8" x14ac:dyDescent="0.45">
      <c r="A2" s="37" t="s">
        <v>2</v>
      </c>
    </row>
    <row r="3" spans="1:8" x14ac:dyDescent="0.4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45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45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45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45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45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45">
      <c r="H9" s="38"/>
    </row>
    <row r="10" spans="1:8" x14ac:dyDescent="0.45">
      <c r="B10" s="30" t="s">
        <v>699</v>
      </c>
    </row>
    <row r="11" spans="1:8" x14ac:dyDescent="0.45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45">
      <c r="B12" s="30" t="s">
        <v>701</v>
      </c>
    </row>
    <row r="13" spans="1:8" x14ac:dyDescent="0.45">
      <c r="B13" s="30" t="s">
        <v>702</v>
      </c>
    </row>
    <row r="14" spans="1:8" x14ac:dyDescent="0.45">
      <c r="B14" s="30" t="s">
        <v>703</v>
      </c>
    </row>
    <row r="15" spans="1:8" x14ac:dyDescent="0.45">
      <c r="A15" s="37" t="s">
        <v>2</v>
      </c>
    </row>
    <row r="16" spans="1:8" x14ac:dyDescent="0.45">
      <c r="B16" s="40" t="s">
        <v>704</v>
      </c>
      <c r="C16" s="40" t="s">
        <v>705</v>
      </c>
      <c r="D16" s="3" t="s">
        <v>674</v>
      </c>
    </row>
    <row r="17" spans="2:4" x14ac:dyDescent="0.45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45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45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45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45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45">
      <c r="B23" s="30" t="s">
        <v>711</v>
      </c>
    </row>
    <row r="24" spans="2:4" x14ac:dyDescent="0.45">
      <c r="B24" s="30" t="s">
        <v>712</v>
      </c>
    </row>
    <row r="25" spans="2:4" x14ac:dyDescent="0.45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20" activePane="bottomLeft" state="frozen"/>
      <selection pane="bottomLeft" activeCell="D26" sqref="D26"/>
    </sheetView>
  </sheetViews>
  <sheetFormatPr defaultRowHeight="19" x14ac:dyDescent="0.45"/>
  <cols>
    <col min="2" max="2" width="9" customWidth="1"/>
    <col min="3" max="3" width="11.26562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640625" customWidth="1"/>
    <col min="10" max="10" width="12.59765625" customWidth="1"/>
    <col min="11" max="11" width="13.06640625" bestFit="1" customWidth="1"/>
  </cols>
  <sheetData>
    <row r="1" spans="1:10" s="2" customFormat="1" ht="32.65" customHeight="1" thickBot="1" x14ac:dyDescent="0.5">
      <c r="A1" s="36">
        <v>63</v>
      </c>
      <c r="B1" s="1" t="s">
        <v>714</v>
      </c>
    </row>
    <row r="2" spans="1:10" x14ac:dyDescent="0.45">
      <c r="A2" s="37" t="s">
        <v>2</v>
      </c>
    </row>
    <row r="3" spans="1:10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45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45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45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45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45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45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45">
      <c r="B10" s="30"/>
    </row>
    <row r="11" spans="1:10" x14ac:dyDescent="0.4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4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45">
      <c r="B13" s="35"/>
      <c r="C13" s="35"/>
      <c r="D13" s="35"/>
      <c r="E13" s="35"/>
      <c r="F13" s="35"/>
    </row>
    <row r="14" spans="1:10" x14ac:dyDescent="0.45">
      <c r="B14" s="30"/>
    </row>
    <row r="15" spans="1:10" x14ac:dyDescent="0.45">
      <c r="B15" s="30"/>
    </row>
    <row r="16" spans="1:10" x14ac:dyDescent="0.45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45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45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45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45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VLOOKUP(H20,CHOOSE({1,2},D16:D22,C16:C22),2,0)</f>
        <v>Alarm Clock</v>
      </c>
    </row>
    <row r="21" spans="2:9" x14ac:dyDescent="0.45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45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45">
      <c r="B23" s="30"/>
    </row>
    <row r="25" spans="2:9" x14ac:dyDescent="0.45">
      <c r="D25" t="str" cm="1">
        <f t="array" ref="D25:E31">CHOOSE({1,2},D16:D22,C16:C22)</f>
        <v>HSN Code</v>
      </c>
      <c r="E25" t="str">
        <v>Name</v>
      </c>
    </row>
    <row r="26" spans="2:9" x14ac:dyDescent="0.45">
      <c r="D26" t="str">
        <v>P001</v>
      </c>
      <c r="E26" t="str">
        <v>Bedsheet</v>
      </c>
    </row>
    <row r="27" spans="2:9" x14ac:dyDescent="0.45">
      <c r="D27" t="str">
        <v>P004</v>
      </c>
      <c r="E27" t="str">
        <v>Pillow</v>
      </c>
    </row>
    <row r="28" spans="2:9" x14ac:dyDescent="0.45">
      <c r="D28" t="str">
        <v>P002</v>
      </c>
      <c r="E28" t="str">
        <v>Blanket</v>
      </c>
    </row>
    <row r="29" spans="2:9" x14ac:dyDescent="0.45">
      <c r="D29" t="str">
        <v>P003</v>
      </c>
      <c r="E29" t="str">
        <v>Alarm Clock</v>
      </c>
    </row>
    <row r="30" spans="2:9" x14ac:dyDescent="0.45">
      <c r="D30" t="str">
        <v>P005</v>
      </c>
      <c r="E30" t="str">
        <v>Mattress</v>
      </c>
    </row>
    <row r="31" spans="2:9" x14ac:dyDescent="0.45">
      <c r="D31" t="str">
        <v>P006</v>
      </c>
      <c r="E3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3.265625" customWidth="1"/>
    <col min="3" max="3" width="7.59765625" customWidth="1"/>
    <col min="4" max="4" width="11.796875" bestFit="1" customWidth="1"/>
    <col min="5" max="5" width="11.46484375" bestFit="1" customWidth="1"/>
    <col min="6" max="6" width="15.8632812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6640625" customWidth="1"/>
    <col min="11" max="11" width="15.265625" bestFit="1" customWidth="1"/>
  </cols>
  <sheetData>
    <row r="1" spans="1:11" s="2" customFormat="1" ht="32.65" customHeight="1" thickBot="1" x14ac:dyDescent="0.5">
      <c r="A1" s="36">
        <v>64</v>
      </c>
      <c r="B1" s="1" t="s">
        <v>733</v>
      </c>
    </row>
    <row r="2" spans="1:11" x14ac:dyDescent="0.45">
      <c r="A2" s="37" t="s">
        <v>2</v>
      </c>
    </row>
    <row r="3" spans="1:11" x14ac:dyDescent="0.45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45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45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45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45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4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4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45">
      <c r="E11" s="12" t="s">
        <v>719</v>
      </c>
      <c r="F11" s="4" t="str">
        <f>HLOOKUP($F$9,$B$3:$H$7,ROWS($D$9:D11),0)</f>
        <v>P002</v>
      </c>
    </row>
    <row r="12" spans="1:11" x14ac:dyDescent="0.4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4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9" customWidth="1"/>
    <col min="3" max="3" width="14.464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65</v>
      </c>
      <c r="B1" s="1" t="s">
        <v>740</v>
      </c>
    </row>
    <row r="2" spans="1:9" x14ac:dyDescent="0.45">
      <c r="A2" s="37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4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4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4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4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4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45">
      <c r="B10" s="30"/>
      <c r="H10" s="50"/>
    </row>
    <row r="11" spans="1:9" x14ac:dyDescent="0.45">
      <c r="H11" s="50"/>
    </row>
    <row r="12" spans="1:9" x14ac:dyDescent="0.4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66</v>
      </c>
      <c r="B1" s="1" t="s">
        <v>749</v>
      </c>
    </row>
    <row r="2" spans="1:9" x14ac:dyDescent="0.45">
      <c r="A2" s="37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4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4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4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4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4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45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6">
        <v>67</v>
      </c>
      <c r="B1" s="1" t="s">
        <v>750</v>
      </c>
    </row>
    <row r="2" spans="1:9" ht="16.5" customHeight="1" x14ac:dyDescent="0.45">
      <c r="A2" s="37" t="s">
        <v>2</v>
      </c>
    </row>
    <row r="3" spans="1:9" x14ac:dyDescent="0.4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45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45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45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45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45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45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45">
      <c r="B10" s="30"/>
    </row>
    <row r="11" spans="1:9" x14ac:dyDescent="0.45">
      <c r="B11" s="3" t="s">
        <v>718</v>
      </c>
    </row>
    <row r="12" spans="1:9" x14ac:dyDescent="0.45">
      <c r="B12" s="4">
        <v>103</v>
      </c>
    </row>
    <row r="13" spans="1:9" ht="9" customHeight="1" x14ac:dyDescent="0.45"/>
    <row r="14" spans="1:9" x14ac:dyDescent="0.4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45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26562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5">
      <c r="A1" s="36">
        <v>68</v>
      </c>
      <c r="B1" s="1" t="s">
        <v>757</v>
      </c>
    </row>
    <row r="2" spans="1:9" ht="16.5" customHeight="1" x14ac:dyDescent="0.45">
      <c r="A2" s="37" t="s">
        <v>2</v>
      </c>
    </row>
    <row r="3" spans="1:9" x14ac:dyDescent="0.45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45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45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45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45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45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45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45">
      <c r="B10" s="30"/>
    </row>
    <row r="11" spans="1:9" x14ac:dyDescent="0.45">
      <c r="B11" s="3" t="s">
        <v>718</v>
      </c>
      <c r="C11" s="3" t="s">
        <v>128</v>
      </c>
    </row>
    <row r="12" spans="1:9" x14ac:dyDescent="0.45">
      <c r="B12" s="4">
        <v>102</v>
      </c>
      <c r="C12" s="4">
        <f>_xlfn.XLOOKUP(B12,B3:B9,F3:F9,"not found",0,-1)</f>
        <v>45000</v>
      </c>
    </row>
    <row r="17" spans="2:8" x14ac:dyDescent="0.4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4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4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4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4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4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4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4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4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45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45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45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45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45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45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4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45">
      <c r="E38" s="12" t="s">
        <v>719</v>
      </c>
      <c r="F38" s="4" t="str">
        <f>_xlfn.XLOOKUP($F$36,$B$30:$H$30,B32:H32)</f>
        <v>P003</v>
      </c>
    </row>
    <row r="39" spans="2:8" x14ac:dyDescent="0.45">
      <c r="E39" s="12" t="s">
        <v>720</v>
      </c>
      <c r="F39" s="4">
        <f>_xlfn.XLOOKUP($F$36,$B$30:$H$30,B33:H33)</f>
        <v>7</v>
      </c>
    </row>
    <row r="40" spans="2:8" x14ac:dyDescent="0.4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N9" sqref="N9"/>
    </sheetView>
  </sheetViews>
  <sheetFormatPr defaultRowHeight="19" x14ac:dyDescent="0.45"/>
  <cols>
    <col min="2" max="2" width="10.265625" customWidth="1"/>
    <col min="4" max="4" width="8.59765625" customWidth="1"/>
    <col min="10" max="10" width="5.59765625" customWidth="1"/>
    <col min="13" max="13" width="11.46484375" customWidth="1"/>
  </cols>
  <sheetData>
    <row r="1" spans="1:18" s="2" customFormat="1" ht="32.65" customHeight="1" thickBot="1" x14ac:dyDescent="0.5">
      <c r="A1" s="36">
        <v>69</v>
      </c>
      <c r="B1" s="1" t="s">
        <v>75</v>
      </c>
    </row>
    <row r="2" spans="1:18" ht="16.5" customHeight="1" thickBot="1" x14ac:dyDescent="0.5">
      <c r="A2" s="37" t="s">
        <v>2</v>
      </c>
    </row>
    <row r="3" spans="1:18" ht="28" thickTop="1" x14ac:dyDescent="0.45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45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8" t="s">
        <v>778</v>
      </c>
      <c r="L6" s="148"/>
      <c r="M6" s="149"/>
      <c r="N6" s="118" t="s">
        <v>774</v>
      </c>
      <c r="R6" s="115"/>
    </row>
    <row r="7" spans="1:18" ht="19.5" thickTop="1" x14ac:dyDescent="0.45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45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>
        <f>DSUM(B3:I19,3,N5:N6)</f>
        <v>12800</v>
      </c>
      <c r="O8" s="120"/>
      <c r="R8" s="115"/>
    </row>
    <row r="9" spans="1:18" x14ac:dyDescent="0.45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45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45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45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45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45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45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0" t="s">
        <v>782</v>
      </c>
      <c r="L15" s="150"/>
    </row>
    <row r="16" spans="1:18" x14ac:dyDescent="0.45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45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45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4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70</v>
      </c>
      <c r="B1" s="151" t="s">
        <v>76</v>
      </c>
      <c r="C1" s="151"/>
    </row>
    <row r="2" spans="1:13" x14ac:dyDescent="0.45">
      <c r="A2" s="37" t="s">
        <v>2</v>
      </c>
    </row>
    <row r="3" spans="1:13" x14ac:dyDescent="0.45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45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45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45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45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45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45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45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45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45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45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4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45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45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45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45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45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45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45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45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45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45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8.3984375" customWidth="1"/>
    <col min="3" max="3" width="13.3984375" customWidth="1"/>
    <col min="4" max="4" width="13.19921875" customWidth="1"/>
    <col min="5" max="5" width="19.6640625" bestFit="1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71</v>
      </c>
      <c r="B1" s="1" t="s">
        <v>77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5" spans="1:13" x14ac:dyDescent="0.45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4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4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4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4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4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4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4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45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4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72</v>
      </c>
      <c r="B1" s="151" t="s">
        <v>78</v>
      </c>
      <c r="C1" s="15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45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45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45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45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45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45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45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45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45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45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45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45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45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45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9" x14ac:dyDescent="0.45"/>
  <cols>
    <col min="2" max="2" width="13.8632812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73</v>
      </c>
      <c r="B1" s="1" t="s">
        <v>79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105" t="s">
        <v>79</v>
      </c>
    </row>
    <row r="5" spans="1:13" x14ac:dyDescent="0.45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45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45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45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45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45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45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45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45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45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45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45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45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45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45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464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74</v>
      </c>
      <c r="B1" s="1" t="s">
        <v>80</v>
      </c>
      <c r="C1" s="1"/>
    </row>
    <row r="2" spans="1:13" x14ac:dyDescent="0.45">
      <c r="A2" s="37" t="s">
        <v>2</v>
      </c>
    </row>
    <row r="3" spans="1:13" x14ac:dyDescent="0.45">
      <c r="L3" s="38"/>
      <c r="M3" s="38"/>
    </row>
    <row r="4" spans="1:13" x14ac:dyDescent="0.45">
      <c r="B4" s="138" t="s">
        <v>141</v>
      </c>
      <c r="C4" s="139" t="s">
        <v>850</v>
      </c>
      <c r="D4" s="139" t="s">
        <v>363</v>
      </c>
      <c r="G4" t="s">
        <v>851</v>
      </c>
    </row>
    <row r="5" spans="1:13" x14ac:dyDescent="0.45">
      <c r="B5" s="30">
        <v>43031</v>
      </c>
      <c r="C5" t="s">
        <v>852</v>
      </c>
      <c r="D5">
        <v>100</v>
      </c>
      <c r="G5" t="s">
        <v>853</v>
      </c>
    </row>
    <row r="6" spans="1:13" x14ac:dyDescent="0.45">
      <c r="B6" s="30">
        <v>43031</v>
      </c>
      <c r="C6" t="s">
        <v>854</v>
      </c>
      <c r="D6">
        <v>200</v>
      </c>
      <c r="G6" t="s">
        <v>855</v>
      </c>
    </row>
    <row r="7" spans="1:13" x14ac:dyDescent="0.45">
      <c r="B7" s="30">
        <v>43032</v>
      </c>
      <c r="C7" t="s">
        <v>856</v>
      </c>
      <c r="D7">
        <v>100</v>
      </c>
      <c r="G7" t="s">
        <v>857</v>
      </c>
    </row>
    <row r="8" spans="1:13" x14ac:dyDescent="0.45">
      <c r="B8" s="30">
        <v>43032</v>
      </c>
      <c r="C8" t="s">
        <v>852</v>
      </c>
      <c r="D8">
        <v>300</v>
      </c>
      <c r="G8" t="s">
        <v>858</v>
      </c>
    </row>
    <row r="9" spans="1:13" x14ac:dyDescent="0.45">
      <c r="B9" s="30">
        <v>43032</v>
      </c>
      <c r="C9" t="s">
        <v>852</v>
      </c>
      <c r="D9">
        <v>700</v>
      </c>
      <c r="G9" t="s">
        <v>859</v>
      </c>
    </row>
    <row r="10" spans="1:13" x14ac:dyDescent="0.45">
      <c r="B10" s="30">
        <v>43031</v>
      </c>
      <c r="C10" t="s">
        <v>856</v>
      </c>
      <c r="D10">
        <v>100</v>
      </c>
      <c r="G10" t="s">
        <v>860</v>
      </c>
    </row>
    <row r="11" spans="1:13" x14ac:dyDescent="0.45">
      <c r="B11" s="30">
        <v>43032</v>
      </c>
      <c r="C11" t="s">
        <v>854</v>
      </c>
      <c r="D11">
        <v>200</v>
      </c>
    </row>
    <row r="12" spans="1:13" x14ac:dyDescent="0.45">
      <c r="B12" s="30">
        <v>43032</v>
      </c>
      <c r="C12" t="s">
        <v>854</v>
      </c>
      <c r="D12">
        <v>500</v>
      </c>
    </row>
    <row r="13" spans="1:13" x14ac:dyDescent="0.45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9" x14ac:dyDescent="0.45"/>
  <cols>
    <col min="1" max="1" width="12.06640625" bestFit="1" customWidth="1"/>
    <col min="2" max="2" width="12.265625" bestFit="1" customWidth="1"/>
  </cols>
  <sheetData>
    <row r="3" spans="1:2" x14ac:dyDescent="0.45">
      <c r="A3" s="132" t="s">
        <v>861</v>
      </c>
      <c r="B3" t="s">
        <v>862</v>
      </c>
    </row>
    <row r="4" spans="1:2" x14ac:dyDescent="0.45">
      <c r="A4" s="13" t="s">
        <v>863</v>
      </c>
      <c r="B4" s="133">
        <v>110.99999999999999</v>
      </c>
    </row>
    <row r="5" spans="1:2" x14ac:dyDescent="0.45">
      <c r="A5" s="13" t="s">
        <v>371</v>
      </c>
      <c r="B5" s="133">
        <v>397.12000000000006</v>
      </c>
    </row>
    <row r="6" spans="1:2" x14ac:dyDescent="0.45">
      <c r="A6" s="13" t="s">
        <v>864</v>
      </c>
      <c r="B6" s="133">
        <v>341.29999999999995</v>
      </c>
    </row>
    <row r="7" spans="1:2" x14ac:dyDescent="0.45">
      <c r="A7" s="13" t="s">
        <v>670</v>
      </c>
      <c r="B7" s="133">
        <v>167.76000000000002</v>
      </c>
    </row>
    <row r="8" spans="1:2" x14ac:dyDescent="0.45">
      <c r="A8" s="13" t="s">
        <v>667</v>
      </c>
      <c r="B8" s="133">
        <v>379.79999999999995</v>
      </c>
    </row>
    <row r="9" spans="1:2" x14ac:dyDescent="0.45">
      <c r="A9" s="13" t="s">
        <v>865</v>
      </c>
      <c r="B9" s="133">
        <v>369.7</v>
      </c>
    </row>
    <row r="10" spans="1:2" x14ac:dyDescent="0.45">
      <c r="A10" s="13" t="s">
        <v>363</v>
      </c>
      <c r="B10" s="133">
        <v>638.49000000000012</v>
      </c>
    </row>
    <row r="11" spans="1:2" x14ac:dyDescent="0.45">
      <c r="A11" s="13" t="s">
        <v>866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9" x14ac:dyDescent="0.45"/>
  <cols>
    <col min="1" max="1" width="12.6640625" bestFit="1" customWidth="1"/>
    <col min="2" max="2" width="12.46484375" bestFit="1" customWidth="1"/>
  </cols>
  <sheetData>
    <row r="3" spans="1:2" x14ac:dyDescent="0.45">
      <c r="A3" s="132" t="s">
        <v>861</v>
      </c>
      <c r="B3" t="s">
        <v>867</v>
      </c>
    </row>
    <row r="4" spans="1:2" x14ac:dyDescent="0.45">
      <c r="A4" s="13" t="s">
        <v>863</v>
      </c>
      <c r="B4" s="133">
        <v>2204.9299999999998</v>
      </c>
    </row>
    <row r="5" spans="1:2" x14ac:dyDescent="0.45">
      <c r="A5" s="13" t="s">
        <v>371</v>
      </c>
      <c r="B5" s="133">
        <v>14368.039000000001</v>
      </c>
    </row>
    <row r="6" spans="1:2" x14ac:dyDescent="0.45">
      <c r="A6" s="13" t="s">
        <v>864</v>
      </c>
      <c r="B6" s="133">
        <v>8778.9009999999998</v>
      </c>
    </row>
    <row r="7" spans="1:2" x14ac:dyDescent="0.45">
      <c r="A7" s="13" t="s">
        <v>670</v>
      </c>
      <c r="B7" s="133">
        <v>6006.1912000000011</v>
      </c>
    </row>
    <row r="8" spans="1:2" x14ac:dyDescent="0.45">
      <c r="A8" s="13" t="s">
        <v>667</v>
      </c>
      <c r="B8" s="133">
        <v>11048.359999999999</v>
      </c>
    </row>
    <row r="9" spans="1:2" x14ac:dyDescent="0.45">
      <c r="A9" s="13" t="s">
        <v>865</v>
      </c>
      <c r="B9" s="133">
        <v>12055.714</v>
      </c>
    </row>
    <row r="10" spans="1:2" x14ac:dyDescent="0.45">
      <c r="A10" s="13" t="s">
        <v>363</v>
      </c>
      <c r="B10" s="133">
        <v>27282.156799999997</v>
      </c>
    </row>
    <row r="11" spans="1:2" x14ac:dyDescent="0.45">
      <c r="A11" s="13" t="s">
        <v>866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75</v>
      </c>
      <c r="B1" s="151" t="s">
        <v>81</v>
      </c>
      <c r="C1" s="151"/>
    </row>
    <row r="2" spans="1:13" x14ac:dyDescent="0.45">
      <c r="A2" s="37" t="s">
        <v>2</v>
      </c>
    </row>
    <row r="3" spans="1:13" x14ac:dyDescent="0.45">
      <c r="L3" s="38"/>
      <c r="M3" s="38"/>
    </row>
    <row r="5" spans="1:13" x14ac:dyDescent="0.45">
      <c r="A5" s="37" t="s">
        <v>2</v>
      </c>
    </row>
    <row r="7" spans="1:13" x14ac:dyDescent="0.45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45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45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45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45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45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45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45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45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45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45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45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45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45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45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45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45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45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45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45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45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45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45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45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45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45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45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45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45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45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45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45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45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45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45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45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45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45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45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45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45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45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45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9" x14ac:dyDescent="0.45"/>
  <cols>
    <col min="3" max="3" width="9.46484375" bestFit="1" customWidth="1"/>
    <col min="4" max="4" width="6.86328125" bestFit="1" customWidth="1"/>
    <col min="5" max="5" width="5.796875" bestFit="1" customWidth="1"/>
    <col min="11" max="11" width="12.796875" customWidth="1"/>
  </cols>
  <sheetData>
    <row r="1" spans="1:11" ht="19.5" thickBot="1" x14ac:dyDescent="0.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45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45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45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45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45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45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45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45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45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45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45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45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45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45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45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45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45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45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45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45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45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45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45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45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45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45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45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45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45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45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45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45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45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45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45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45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45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45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45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45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45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45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45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45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45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45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45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45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45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45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45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45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45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45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45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45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45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45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45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45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45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45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45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45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45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45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45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45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45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45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45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45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45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45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45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45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45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45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45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45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45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45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45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45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45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45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45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45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45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45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45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45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45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45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45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45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45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45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45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45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9" x14ac:dyDescent="0.45"/>
  <cols>
    <col min="1" max="1" width="11.46484375" bestFit="1" customWidth="1"/>
  </cols>
  <sheetData>
    <row r="1" spans="1:7" x14ac:dyDescent="0.45">
      <c r="A1" t="s">
        <v>10</v>
      </c>
    </row>
    <row r="2" spans="1:7" ht="19.5" thickBot="1" x14ac:dyDescent="0.5">
      <c r="A2" s="37" t="s">
        <v>955</v>
      </c>
    </row>
    <row r="3" spans="1:7" ht="23.5" thickBot="1" x14ac:dyDescent="0.55000000000000004">
      <c r="A3" s="152" t="s">
        <v>958</v>
      </c>
      <c r="B3" s="153"/>
      <c r="C3" s="153"/>
      <c r="D3" s="153"/>
      <c r="E3" s="153"/>
      <c r="F3" s="153"/>
      <c r="G3" s="154"/>
    </row>
    <row r="4" spans="1:7" ht="19.5" thickTop="1" x14ac:dyDescent="0.45">
      <c r="A4" s="77"/>
      <c r="B4" s="78"/>
      <c r="C4" s="78"/>
      <c r="D4" s="78"/>
      <c r="E4" s="78"/>
      <c r="F4" s="78"/>
      <c r="G4" s="79"/>
    </row>
    <row r="5" spans="1:7" ht="19.5" thickBot="1" x14ac:dyDescent="0.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45">
      <c r="A6" s="80"/>
      <c r="B6" s="83"/>
      <c r="C6" s="78"/>
      <c r="D6" s="78"/>
      <c r="E6" s="78"/>
      <c r="F6" s="78"/>
      <c r="G6" s="79"/>
    </row>
    <row r="7" spans="1:7" ht="19.5" thickBot="1" x14ac:dyDescent="0.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45">
      <c r="A8" s="80"/>
      <c r="B8" s="83"/>
      <c r="C8" s="78"/>
      <c r="D8" s="78"/>
      <c r="E8" s="78"/>
      <c r="F8" s="78"/>
      <c r="G8" s="79"/>
    </row>
    <row r="9" spans="1:7" ht="19.5" thickBot="1" x14ac:dyDescent="0.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45">
      <c r="A10" s="80"/>
      <c r="B10" s="83"/>
      <c r="C10" s="78"/>
      <c r="D10" s="78"/>
      <c r="E10" s="78"/>
      <c r="F10" s="78"/>
      <c r="G10" s="79"/>
    </row>
    <row r="11" spans="1:7" ht="19.5" thickBot="1" x14ac:dyDescent="0.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45">
      <c r="A12" s="80"/>
      <c r="B12" s="83"/>
      <c r="C12" s="78"/>
      <c r="D12" s="78"/>
      <c r="E12" s="78"/>
      <c r="F12" s="78"/>
      <c r="G12" s="79"/>
    </row>
    <row r="13" spans="1:7" ht="19.5" thickBot="1" x14ac:dyDescent="0.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45">
      <c r="A14" s="77"/>
      <c r="B14" s="78"/>
      <c r="C14" s="78"/>
      <c r="D14" s="78"/>
      <c r="E14" s="78"/>
      <c r="F14" s="78"/>
      <c r="G14" s="79"/>
    </row>
    <row r="15" spans="1:7" ht="19.5" thickBot="1" x14ac:dyDescent="0.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9" x14ac:dyDescent="0.45"/>
  <cols>
    <col min="1" max="1" width="10.3984375" style="90" bestFit="1" customWidth="1"/>
    <col min="2" max="16384" width="8.796875" style="90"/>
  </cols>
  <sheetData>
    <row r="5" spans="1:1" x14ac:dyDescent="0.45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9" x14ac:dyDescent="0.45"/>
  <cols>
    <col min="1" max="1" width="10.3984375" bestFit="1" customWidth="1"/>
    <col min="2" max="2" width="14.3984375" customWidth="1"/>
  </cols>
  <sheetData>
    <row r="1" spans="1:21" x14ac:dyDescent="0.45">
      <c r="A1" s="89"/>
      <c r="B1" s="89" t="s">
        <v>955</v>
      </c>
    </row>
    <row r="3" spans="1:21" ht="19.5" thickBot="1" x14ac:dyDescent="0.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45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45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45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45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45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45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45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45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45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45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45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45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45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45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45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45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45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45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45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45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45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45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45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45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45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45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45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45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45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45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45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45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45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45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45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45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45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45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45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45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45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45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45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45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45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45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45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45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45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45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45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45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45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45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45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45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45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45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45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45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45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45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45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45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45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45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45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45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45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45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45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45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45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45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45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45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45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45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45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45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45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45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45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45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45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45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45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45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45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45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45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45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45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45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45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45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45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45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45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45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9" x14ac:dyDescent="0.45"/>
  <cols>
    <col min="1" max="16384" width="8.796875" style="90"/>
  </cols>
  <sheetData>
    <row r="5" spans="15:15" x14ac:dyDescent="0.45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9" x14ac:dyDescent="0.45"/>
  <cols>
    <col min="1" max="16384" width="8.796875" style="90"/>
  </cols>
  <sheetData>
    <row r="5" spans="15:15" x14ac:dyDescent="0.45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1"/>
      <c r="C1" s="151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1"/>
      <c r="C1" s="151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1"/>
      <c r="C1" s="151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6">
        <v>0</v>
      </c>
      <c r="B1" s="151"/>
      <c r="C1" s="151"/>
    </row>
    <row r="2" spans="1:13" x14ac:dyDescent="0.45">
      <c r="A2" s="37" t="s">
        <v>2</v>
      </c>
    </row>
    <row r="3" spans="1:13" x14ac:dyDescent="0.45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9" x14ac:dyDescent="0.45"/>
  <cols>
    <col min="1" max="1" width="11.59765625" bestFit="1" customWidth="1"/>
    <col min="2" max="2" width="8.6640625" bestFit="1" customWidth="1"/>
    <col min="3" max="3" width="16.796875" bestFit="1" customWidth="1"/>
  </cols>
  <sheetData>
    <row r="2" spans="1:3" x14ac:dyDescent="0.45">
      <c r="A2" s="132" t="s">
        <v>357</v>
      </c>
      <c r="B2" s="132" t="s">
        <v>84</v>
      </c>
      <c r="C2" t="s">
        <v>967</v>
      </c>
    </row>
    <row r="3" spans="1:3" x14ac:dyDescent="0.45">
      <c r="A3" t="s">
        <v>375</v>
      </c>
      <c r="B3" t="s">
        <v>547</v>
      </c>
      <c r="C3">
        <v>15750</v>
      </c>
    </row>
    <row r="4" spans="1:3" x14ac:dyDescent="0.45">
      <c r="B4" t="s">
        <v>422</v>
      </c>
      <c r="C4">
        <v>15610</v>
      </c>
    </row>
    <row r="5" spans="1:3" x14ac:dyDescent="0.45">
      <c r="B5" t="s">
        <v>90</v>
      </c>
      <c r="C5">
        <v>13708.333333333334</v>
      </c>
    </row>
    <row r="6" spans="1:3" x14ac:dyDescent="0.45">
      <c r="B6" t="s">
        <v>506</v>
      </c>
      <c r="C6">
        <v>13125</v>
      </c>
    </row>
    <row r="7" spans="1:3" x14ac:dyDescent="0.45">
      <c r="A7" t="s">
        <v>968</v>
      </c>
      <c r="C7">
        <v>14652.272727272728</v>
      </c>
    </row>
    <row r="8" spans="1:3" x14ac:dyDescent="0.45">
      <c r="A8" t="s">
        <v>397</v>
      </c>
      <c r="B8" t="s">
        <v>547</v>
      </c>
      <c r="C8">
        <v>16333.333333333334</v>
      </c>
    </row>
    <row r="9" spans="1:3" x14ac:dyDescent="0.45">
      <c r="B9" t="s">
        <v>506</v>
      </c>
      <c r="C9">
        <v>16333.333333333334</v>
      </c>
    </row>
    <row r="10" spans="1:3" x14ac:dyDescent="0.45">
      <c r="B10" t="s">
        <v>90</v>
      </c>
      <c r="C10">
        <v>16333.333333333334</v>
      </c>
    </row>
    <row r="11" spans="1:3" x14ac:dyDescent="0.45">
      <c r="B11" t="s">
        <v>422</v>
      </c>
      <c r="C11">
        <v>13475</v>
      </c>
    </row>
    <row r="12" spans="1:3" x14ac:dyDescent="0.45">
      <c r="A12" t="s">
        <v>969</v>
      </c>
      <c r="C12">
        <v>15082.8125</v>
      </c>
    </row>
    <row r="13" spans="1:3" x14ac:dyDescent="0.45">
      <c r="A13" t="s">
        <v>508</v>
      </c>
      <c r="B13" t="s">
        <v>506</v>
      </c>
      <c r="C13">
        <v>49000</v>
      </c>
    </row>
    <row r="14" spans="1:3" x14ac:dyDescent="0.45">
      <c r="A14" t="s">
        <v>970</v>
      </c>
      <c r="C14">
        <v>49000</v>
      </c>
    </row>
    <row r="15" spans="1:3" x14ac:dyDescent="0.45">
      <c r="A15" t="s">
        <v>371</v>
      </c>
      <c r="B15" t="s">
        <v>422</v>
      </c>
      <c r="C15">
        <v>24500</v>
      </c>
    </row>
    <row r="16" spans="1:3" x14ac:dyDescent="0.45">
      <c r="B16" t="s">
        <v>90</v>
      </c>
      <c r="C16">
        <v>19250</v>
      </c>
    </row>
    <row r="17" spans="1:3" x14ac:dyDescent="0.45">
      <c r="B17" t="s">
        <v>506</v>
      </c>
      <c r="C17">
        <v>16187.5</v>
      </c>
    </row>
    <row r="18" spans="1:3" x14ac:dyDescent="0.45">
      <c r="B18" t="s">
        <v>547</v>
      </c>
      <c r="C18">
        <v>12687.5</v>
      </c>
    </row>
    <row r="19" spans="1:3" x14ac:dyDescent="0.45">
      <c r="A19" t="s">
        <v>971</v>
      </c>
      <c r="C19">
        <v>18000</v>
      </c>
    </row>
    <row r="20" spans="1:3" x14ac:dyDescent="0.45">
      <c r="A20" t="s">
        <v>954</v>
      </c>
      <c r="B20" t="s">
        <v>90</v>
      </c>
      <c r="C20">
        <v>17500</v>
      </c>
    </row>
    <row r="21" spans="1:3" x14ac:dyDescent="0.45">
      <c r="A21" t="s">
        <v>972</v>
      </c>
      <c r="C21">
        <v>17500</v>
      </c>
    </row>
    <row r="22" spans="1:3" x14ac:dyDescent="0.45">
      <c r="A22" t="s">
        <v>367</v>
      </c>
      <c r="B22" t="s">
        <v>506</v>
      </c>
      <c r="C22">
        <v>15837.5</v>
      </c>
    </row>
    <row r="23" spans="1:3" x14ac:dyDescent="0.45">
      <c r="B23" t="s">
        <v>90</v>
      </c>
      <c r="C23">
        <v>13737.5</v>
      </c>
    </row>
    <row r="24" spans="1:3" x14ac:dyDescent="0.45">
      <c r="B24" t="s">
        <v>422</v>
      </c>
      <c r="C24">
        <v>13533.333333333334</v>
      </c>
    </row>
    <row r="25" spans="1:3" x14ac:dyDescent="0.45">
      <c r="B25" t="s">
        <v>547</v>
      </c>
      <c r="C25">
        <v>10237.5</v>
      </c>
    </row>
    <row r="26" spans="1:3" x14ac:dyDescent="0.45">
      <c r="A26" t="s">
        <v>973</v>
      </c>
      <c r="C26">
        <v>13358.333333333334</v>
      </c>
    </row>
    <row r="27" spans="1:3" x14ac:dyDescent="0.45">
      <c r="A27" t="s">
        <v>384</v>
      </c>
      <c r="B27" t="s">
        <v>506</v>
      </c>
      <c r="C27">
        <v>17500</v>
      </c>
    </row>
    <row r="28" spans="1:3" x14ac:dyDescent="0.45">
      <c r="B28" t="s">
        <v>422</v>
      </c>
      <c r="C28">
        <v>16275</v>
      </c>
    </row>
    <row r="29" spans="1:3" x14ac:dyDescent="0.45">
      <c r="B29" t="s">
        <v>90</v>
      </c>
      <c r="C29">
        <v>14000</v>
      </c>
    </row>
    <row r="30" spans="1:3" x14ac:dyDescent="0.45">
      <c r="B30" t="s">
        <v>547</v>
      </c>
      <c r="C30">
        <v>13912.5</v>
      </c>
    </row>
    <row r="31" spans="1:3" x14ac:dyDescent="0.45">
      <c r="A31" t="s">
        <v>974</v>
      </c>
      <c r="C31">
        <v>15210.416666666666</v>
      </c>
    </row>
    <row r="32" spans="1:3" x14ac:dyDescent="0.45">
      <c r="A32" t="s">
        <v>391</v>
      </c>
      <c r="B32" t="s">
        <v>422</v>
      </c>
      <c r="C32">
        <v>15662.5</v>
      </c>
    </row>
    <row r="33" spans="1:3" x14ac:dyDescent="0.45">
      <c r="B33" t="s">
        <v>506</v>
      </c>
      <c r="C33">
        <v>14233.333333333334</v>
      </c>
    </row>
    <row r="34" spans="1:3" x14ac:dyDescent="0.45">
      <c r="B34" t="s">
        <v>547</v>
      </c>
      <c r="C34">
        <v>13941.666666666666</v>
      </c>
    </row>
    <row r="35" spans="1:3" x14ac:dyDescent="0.45">
      <c r="B35" t="s">
        <v>90</v>
      </c>
      <c r="C35">
        <v>12600</v>
      </c>
    </row>
    <row r="36" spans="1:3" x14ac:dyDescent="0.45">
      <c r="A36" t="s">
        <v>975</v>
      </c>
      <c r="C36">
        <v>14566.176470588236</v>
      </c>
    </row>
    <row r="37" spans="1:3" x14ac:dyDescent="0.45">
      <c r="A37" t="s">
        <v>363</v>
      </c>
      <c r="B37" t="s">
        <v>90</v>
      </c>
      <c r="C37">
        <v>19833.333333333332</v>
      </c>
    </row>
    <row r="38" spans="1:3" x14ac:dyDescent="0.45">
      <c r="B38" t="s">
        <v>422</v>
      </c>
      <c r="C38">
        <v>17750.142857142859</v>
      </c>
    </row>
    <row r="39" spans="1:3" x14ac:dyDescent="0.45">
      <c r="B39" t="s">
        <v>547</v>
      </c>
      <c r="C39">
        <v>15750</v>
      </c>
    </row>
    <row r="40" spans="1:3" x14ac:dyDescent="0.45">
      <c r="B40" t="s">
        <v>506</v>
      </c>
      <c r="C40">
        <v>13956.25</v>
      </c>
    </row>
    <row r="41" spans="1:3" x14ac:dyDescent="0.45">
      <c r="A41" t="s">
        <v>976</v>
      </c>
      <c r="C41">
        <v>16872.117647058825</v>
      </c>
    </row>
    <row r="42" spans="1:3" x14ac:dyDescent="0.4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359</v>
      </c>
      <c r="B2" t="s">
        <v>967</v>
      </c>
    </row>
    <row r="3" spans="1:2" x14ac:dyDescent="0.45">
      <c r="A3" s="134">
        <v>28126</v>
      </c>
      <c r="B3">
        <v>19687.5</v>
      </c>
    </row>
    <row r="4" spans="1:2" x14ac:dyDescent="0.45">
      <c r="A4" s="134">
        <v>28326</v>
      </c>
      <c r="B4">
        <v>15750</v>
      </c>
    </row>
    <row r="5" spans="1:2" x14ac:dyDescent="0.45">
      <c r="A5" s="134">
        <v>28907</v>
      </c>
      <c r="B5">
        <v>22750</v>
      </c>
    </row>
    <row r="6" spans="1:2" x14ac:dyDescent="0.45">
      <c r="A6" s="134">
        <v>29172</v>
      </c>
      <c r="B6">
        <v>22750</v>
      </c>
    </row>
    <row r="7" spans="1:2" x14ac:dyDescent="0.45">
      <c r="A7" s="134">
        <v>29183</v>
      </c>
      <c r="B7">
        <v>12250</v>
      </c>
    </row>
    <row r="8" spans="1:2" x14ac:dyDescent="0.45">
      <c r="A8" s="134">
        <v>29226</v>
      </c>
      <c r="B8">
        <v>22750</v>
      </c>
    </row>
    <row r="9" spans="1:2" x14ac:dyDescent="0.45">
      <c r="A9" s="134">
        <v>29362</v>
      </c>
      <c r="B9">
        <v>14875</v>
      </c>
    </row>
    <row r="10" spans="1:2" x14ac:dyDescent="0.45">
      <c r="A10" s="134">
        <v>30225</v>
      </c>
      <c r="B10">
        <v>20708.333333333332</v>
      </c>
    </row>
    <row r="11" spans="1:2" x14ac:dyDescent="0.45">
      <c r="A11" s="134">
        <v>30376</v>
      </c>
      <c r="B11">
        <v>17500</v>
      </c>
    </row>
    <row r="12" spans="1:2" x14ac:dyDescent="0.45">
      <c r="A12" s="134">
        <v>31027</v>
      </c>
      <c r="B12">
        <v>19250</v>
      </c>
    </row>
    <row r="13" spans="1:2" x14ac:dyDescent="0.45">
      <c r="A13" s="134">
        <v>31028</v>
      </c>
      <c r="B13">
        <v>49000</v>
      </c>
    </row>
    <row r="14" spans="1:2" x14ac:dyDescent="0.45">
      <c r="A14" s="134">
        <v>31029</v>
      </c>
      <c r="B14">
        <v>14875</v>
      </c>
    </row>
    <row r="15" spans="1:2" x14ac:dyDescent="0.45">
      <c r="A15" s="134">
        <v>31030</v>
      </c>
      <c r="B15">
        <v>14875</v>
      </c>
    </row>
    <row r="16" spans="1:2" x14ac:dyDescent="0.45">
      <c r="A16" s="134">
        <v>31402</v>
      </c>
      <c r="B16">
        <v>14875</v>
      </c>
    </row>
    <row r="17" spans="1:2" x14ac:dyDescent="0.45">
      <c r="A17" s="134">
        <v>31637</v>
      </c>
      <c r="B17">
        <v>10500</v>
      </c>
    </row>
    <row r="18" spans="1:2" x14ac:dyDescent="0.45">
      <c r="A18" s="134">
        <v>31717</v>
      </c>
      <c r="B18">
        <v>15750</v>
      </c>
    </row>
    <row r="19" spans="1:2" x14ac:dyDescent="0.45">
      <c r="A19" s="134">
        <v>31791</v>
      </c>
      <c r="B19">
        <v>19250</v>
      </c>
    </row>
    <row r="20" spans="1:2" x14ac:dyDescent="0.45">
      <c r="A20" s="134">
        <v>32105</v>
      </c>
      <c r="B20">
        <v>19250</v>
      </c>
    </row>
    <row r="21" spans="1:2" x14ac:dyDescent="0.45">
      <c r="A21" s="134">
        <v>32106</v>
      </c>
      <c r="B21">
        <v>19250</v>
      </c>
    </row>
    <row r="22" spans="1:2" x14ac:dyDescent="0.45">
      <c r="A22" s="134">
        <v>32107</v>
      </c>
      <c r="B22">
        <v>19251</v>
      </c>
    </row>
    <row r="23" spans="1:2" x14ac:dyDescent="0.45">
      <c r="A23" s="134">
        <v>32180</v>
      </c>
      <c r="B23">
        <v>15750</v>
      </c>
    </row>
    <row r="24" spans="1:2" x14ac:dyDescent="0.45">
      <c r="A24" s="134">
        <v>32390</v>
      </c>
      <c r="B24">
        <v>12425</v>
      </c>
    </row>
    <row r="25" spans="1:2" x14ac:dyDescent="0.45">
      <c r="A25" s="134">
        <v>32435</v>
      </c>
      <c r="B25">
        <v>15435</v>
      </c>
    </row>
    <row r="26" spans="1:2" x14ac:dyDescent="0.45">
      <c r="A26" s="134">
        <v>32436</v>
      </c>
      <c r="B26">
        <v>15750</v>
      </c>
    </row>
    <row r="27" spans="1:2" x14ac:dyDescent="0.45">
      <c r="A27" s="134">
        <v>32437</v>
      </c>
      <c r="B27">
        <v>19250</v>
      </c>
    </row>
    <row r="28" spans="1:2" x14ac:dyDescent="0.45">
      <c r="A28" s="134">
        <v>32438</v>
      </c>
      <c r="B28">
        <v>17500</v>
      </c>
    </row>
    <row r="29" spans="1:2" x14ac:dyDescent="0.45">
      <c r="A29" s="134">
        <v>32439</v>
      </c>
      <c r="B29">
        <v>17500</v>
      </c>
    </row>
    <row r="30" spans="1:2" x14ac:dyDescent="0.45">
      <c r="A30" s="134">
        <v>32440</v>
      </c>
      <c r="B30">
        <v>17500</v>
      </c>
    </row>
    <row r="31" spans="1:2" x14ac:dyDescent="0.45">
      <c r="A31" s="134">
        <v>32441</v>
      </c>
      <c r="B31">
        <v>17500</v>
      </c>
    </row>
    <row r="32" spans="1:2" x14ac:dyDescent="0.45">
      <c r="A32" s="134">
        <v>32442</v>
      </c>
      <c r="B32">
        <v>17500</v>
      </c>
    </row>
    <row r="33" spans="1:2" x14ac:dyDescent="0.45">
      <c r="A33" s="134">
        <v>32443</v>
      </c>
      <c r="B33">
        <v>17500</v>
      </c>
    </row>
    <row r="34" spans="1:2" x14ac:dyDescent="0.45">
      <c r="A34" s="134">
        <v>32444</v>
      </c>
      <c r="B34">
        <v>18812.5</v>
      </c>
    </row>
    <row r="35" spans="1:2" x14ac:dyDescent="0.45">
      <c r="A35" s="134">
        <v>32445</v>
      </c>
      <c r="B35">
        <v>17500</v>
      </c>
    </row>
    <row r="36" spans="1:2" x14ac:dyDescent="0.45">
      <c r="A36" s="134">
        <v>32446</v>
      </c>
      <c r="B36">
        <v>17500</v>
      </c>
    </row>
    <row r="37" spans="1:2" x14ac:dyDescent="0.45">
      <c r="A37" s="134">
        <v>32447</v>
      </c>
      <c r="B37">
        <v>17500</v>
      </c>
    </row>
    <row r="38" spans="1:2" x14ac:dyDescent="0.45">
      <c r="A38" s="134">
        <v>32448</v>
      </c>
      <c r="B38">
        <v>17500</v>
      </c>
    </row>
    <row r="39" spans="1:2" x14ac:dyDescent="0.45">
      <c r="A39" s="134">
        <v>32603</v>
      </c>
      <c r="B39">
        <v>17325</v>
      </c>
    </row>
    <row r="40" spans="1:2" x14ac:dyDescent="0.45">
      <c r="A40" s="134">
        <v>32604</v>
      </c>
      <c r="B40">
        <v>17325</v>
      </c>
    </row>
    <row r="41" spans="1:2" x14ac:dyDescent="0.45">
      <c r="A41" s="134">
        <v>32605</v>
      </c>
      <c r="B41">
        <v>17325</v>
      </c>
    </row>
    <row r="42" spans="1:2" x14ac:dyDescent="0.45">
      <c r="A42" s="134">
        <v>32606</v>
      </c>
      <c r="B42">
        <v>17325</v>
      </c>
    </row>
    <row r="43" spans="1:2" x14ac:dyDescent="0.45">
      <c r="A43" s="134">
        <v>32607</v>
      </c>
      <c r="B43">
        <v>17325</v>
      </c>
    </row>
    <row r="44" spans="1:2" x14ac:dyDescent="0.45">
      <c r="A44" s="134">
        <v>32608</v>
      </c>
      <c r="B44">
        <v>17325</v>
      </c>
    </row>
    <row r="45" spans="1:2" x14ac:dyDescent="0.45">
      <c r="A45" s="134">
        <v>32609</v>
      </c>
      <c r="B45">
        <v>17325</v>
      </c>
    </row>
    <row r="46" spans="1:2" x14ac:dyDescent="0.45">
      <c r="A46" s="134">
        <v>32755</v>
      </c>
      <c r="B46">
        <v>16712.5</v>
      </c>
    </row>
    <row r="47" spans="1:2" x14ac:dyDescent="0.45">
      <c r="A47" s="134">
        <v>33102</v>
      </c>
      <c r="B47">
        <v>12425</v>
      </c>
    </row>
    <row r="48" spans="1:2" x14ac:dyDescent="0.45">
      <c r="A48" s="134">
        <v>33182</v>
      </c>
      <c r="B48">
        <v>17500</v>
      </c>
    </row>
    <row r="49" spans="1:2" x14ac:dyDescent="0.45">
      <c r="A49" s="134">
        <v>33194</v>
      </c>
      <c r="B49">
        <v>13825</v>
      </c>
    </row>
    <row r="50" spans="1:2" x14ac:dyDescent="0.45">
      <c r="A50" s="134">
        <v>33510</v>
      </c>
      <c r="B50">
        <v>12075</v>
      </c>
    </row>
    <row r="51" spans="1:2" x14ac:dyDescent="0.45">
      <c r="A51" s="134">
        <v>33729</v>
      </c>
      <c r="B51">
        <v>9275</v>
      </c>
    </row>
    <row r="52" spans="1:2" x14ac:dyDescent="0.45">
      <c r="A52" s="134">
        <v>33787</v>
      </c>
      <c r="B52">
        <v>13125</v>
      </c>
    </row>
    <row r="53" spans="1:2" x14ac:dyDescent="0.45">
      <c r="A53" s="134">
        <v>33878</v>
      </c>
      <c r="B53">
        <v>14875</v>
      </c>
    </row>
    <row r="54" spans="1:2" x14ac:dyDescent="0.45">
      <c r="A54" s="134">
        <v>34098</v>
      </c>
      <c r="B54">
        <v>14875</v>
      </c>
    </row>
    <row r="55" spans="1:2" x14ac:dyDescent="0.45">
      <c r="A55" s="134">
        <v>34580</v>
      </c>
      <c r="B55">
        <v>11725</v>
      </c>
    </row>
    <row r="56" spans="1:2" x14ac:dyDescent="0.45">
      <c r="A56" s="134">
        <v>34761</v>
      </c>
      <c r="B56">
        <v>14875</v>
      </c>
    </row>
    <row r="57" spans="1:2" x14ac:dyDescent="0.45">
      <c r="A57" s="134">
        <v>34762</v>
      </c>
      <c r="B57">
        <v>14000</v>
      </c>
    </row>
    <row r="58" spans="1:2" x14ac:dyDescent="0.45">
      <c r="A58" s="134">
        <v>34763</v>
      </c>
      <c r="B58">
        <v>14000</v>
      </c>
    </row>
    <row r="59" spans="1:2" x14ac:dyDescent="0.45">
      <c r="A59" s="134">
        <v>34777</v>
      </c>
      <c r="B59">
        <v>10500</v>
      </c>
    </row>
    <row r="60" spans="1:2" x14ac:dyDescent="0.45">
      <c r="A60" s="134">
        <v>35034</v>
      </c>
      <c r="B60">
        <v>14875</v>
      </c>
    </row>
    <row r="61" spans="1:2" x14ac:dyDescent="0.45">
      <c r="A61" s="134">
        <v>35189</v>
      </c>
      <c r="B61">
        <v>9625</v>
      </c>
    </row>
    <row r="62" spans="1:2" x14ac:dyDescent="0.45">
      <c r="A62" s="134">
        <v>35595</v>
      </c>
      <c r="B62">
        <v>7875</v>
      </c>
    </row>
    <row r="63" spans="1:2" x14ac:dyDescent="0.45">
      <c r="A63" s="134">
        <v>35618</v>
      </c>
      <c r="B63">
        <v>9187.5</v>
      </c>
    </row>
    <row r="64" spans="1:2" x14ac:dyDescent="0.45">
      <c r="A64" s="134">
        <v>35794</v>
      </c>
      <c r="B64">
        <v>9187.5</v>
      </c>
    </row>
    <row r="65" spans="1:2" x14ac:dyDescent="0.45">
      <c r="A65" s="134">
        <v>35809</v>
      </c>
      <c r="B65">
        <v>7000</v>
      </c>
    </row>
    <row r="66" spans="1:2" x14ac:dyDescent="0.45">
      <c r="A66" s="134">
        <v>35810</v>
      </c>
      <c r="B66">
        <v>17500</v>
      </c>
    </row>
    <row r="67" spans="1:2" x14ac:dyDescent="0.45">
      <c r="A67" s="134">
        <v>35811</v>
      </c>
      <c r="B67">
        <v>17500</v>
      </c>
    </row>
    <row r="68" spans="1:2" x14ac:dyDescent="0.45">
      <c r="A68" s="134">
        <v>36193</v>
      </c>
      <c r="B68">
        <v>7875</v>
      </c>
    </row>
    <row r="69" spans="1:2" x14ac:dyDescent="0.45">
      <c r="A69" s="134">
        <v>36220</v>
      </c>
      <c r="B69">
        <v>7000</v>
      </c>
    </row>
    <row r="70" spans="1:2" x14ac:dyDescent="0.45">
      <c r="A70" s="134">
        <v>36221</v>
      </c>
      <c r="B70">
        <v>7000</v>
      </c>
    </row>
    <row r="71" spans="1:2" x14ac:dyDescent="0.45">
      <c r="A71" s="134">
        <v>36222</v>
      </c>
      <c r="B71">
        <v>7000</v>
      </c>
    </row>
    <row r="72" spans="1:2" x14ac:dyDescent="0.45">
      <c r="A72" s="134">
        <v>36274</v>
      </c>
      <c r="B72">
        <v>7875</v>
      </c>
    </row>
    <row r="73" spans="1:2" x14ac:dyDescent="0.45">
      <c r="A73" s="134">
        <v>36316</v>
      </c>
      <c r="B73">
        <v>5950</v>
      </c>
    </row>
    <row r="74" spans="1:2" x14ac:dyDescent="0.45">
      <c r="A74" s="134">
        <v>36317</v>
      </c>
      <c r="B74">
        <v>7875</v>
      </c>
    </row>
    <row r="75" spans="1:2" x14ac:dyDescent="0.45">
      <c r="A75" s="134">
        <v>36318</v>
      </c>
      <c r="B75">
        <v>7875</v>
      </c>
    </row>
    <row r="76" spans="1:2" x14ac:dyDescent="0.45">
      <c r="A76" s="134">
        <v>36319</v>
      </c>
      <c r="B76">
        <v>7875</v>
      </c>
    </row>
    <row r="77" spans="1:2" x14ac:dyDescent="0.45">
      <c r="A77" s="134">
        <v>36506</v>
      </c>
      <c r="B77">
        <v>14875</v>
      </c>
    </row>
    <row r="78" spans="1:2" x14ac:dyDescent="0.45">
      <c r="A78" s="134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357</v>
      </c>
      <c r="B2" t="s">
        <v>967</v>
      </c>
    </row>
    <row r="3" spans="1:2" x14ac:dyDescent="0.45">
      <c r="A3" t="s">
        <v>508</v>
      </c>
      <c r="B3">
        <v>49000</v>
      </c>
    </row>
    <row r="4" spans="1:2" x14ac:dyDescent="0.45">
      <c r="A4" t="s">
        <v>371</v>
      </c>
      <c r="B4">
        <v>18000</v>
      </c>
    </row>
    <row r="5" spans="1:2" x14ac:dyDescent="0.45">
      <c r="A5" t="s">
        <v>954</v>
      </c>
      <c r="B5">
        <v>17500</v>
      </c>
    </row>
    <row r="6" spans="1:2" x14ac:dyDescent="0.45">
      <c r="A6" t="s">
        <v>363</v>
      </c>
      <c r="B6">
        <v>16872.117647058825</v>
      </c>
    </row>
    <row r="7" spans="1:2" x14ac:dyDescent="0.45">
      <c r="A7" t="s">
        <v>384</v>
      </c>
      <c r="B7">
        <v>15210.416666666666</v>
      </c>
    </row>
    <row r="8" spans="1:2" x14ac:dyDescent="0.45">
      <c r="A8" t="s">
        <v>397</v>
      </c>
      <c r="B8">
        <v>15082.8125</v>
      </c>
    </row>
    <row r="9" spans="1:2" x14ac:dyDescent="0.45">
      <c r="A9" t="s">
        <v>375</v>
      </c>
      <c r="B9">
        <v>14652.272727272728</v>
      </c>
    </row>
    <row r="10" spans="1:2" x14ac:dyDescent="0.45">
      <c r="A10" t="s">
        <v>391</v>
      </c>
      <c r="B10">
        <v>14566.176470588236</v>
      </c>
    </row>
    <row r="11" spans="1:2" x14ac:dyDescent="0.45">
      <c r="A11" t="s">
        <v>367</v>
      </c>
      <c r="B11">
        <v>13358.333333333334</v>
      </c>
    </row>
    <row r="12" spans="1:2" x14ac:dyDescent="0.4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357</v>
      </c>
      <c r="B2" t="s">
        <v>391</v>
      </c>
    </row>
    <row r="4" spans="1:2" x14ac:dyDescent="0.45">
      <c r="A4" s="132" t="s">
        <v>359</v>
      </c>
      <c r="B4" t="s">
        <v>967</v>
      </c>
    </row>
    <row r="5" spans="1:2" x14ac:dyDescent="0.45">
      <c r="A5" s="134">
        <v>29226</v>
      </c>
      <c r="B5">
        <v>22750</v>
      </c>
    </row>
    <row r="6" spans="1:2" x14ac:dyDescent="0.45">
      <c r="A6" s="134">
        <v>30225</v>
      </c>
      <c r="B6">
        <v>15750</v>
      </c>
    </row>
    <row r="7" spans="1:2" x14ac:dyDescent="0.45">
      <c r="A7" s="134">
        <v>32438</v>
      </c>
      <c r="B7">
        <v>17500</v>
      </c>
    </row>
    <row r="8" spans="1:2" x14ac:dyDescent="0.45">
      <c r="A8" s="134">
        <v>32440</v>
      </c>
      <c r="B8">
        <v>17500</v>
      </c>
    </row>
    <row r="9" spans="1:2" x14ac:dyDescent="0.45">
      <c r="A9" s="134">
        <v>32443</v>
      </c>
      <c r="B9">
        <v>17500</v>
      </c>
    </row>
    <row r="10" spans="1:2" x14ac:dyDescent="0.45">
      <c r="A10" s="134">
        <v>32448</v>
      </c>
      <c r="B10">
        <v>17500</v>
      </c>
    </row>
    <row r="11" spans="1:2" x14ac:dyDescent="0.45">
      <c r="A11" s="134">
        <v>32607</v>
      </c>
      <c r="B11">
        <v>17325</v>
      </c>
    </row>
    <row r="12" spans="1:2" x14ac:dyDescent="0.45">
      <c r="A12" s="134">
        <v>32608</v>
      </c>
      <c r="B12">
        <v>17325</v>
      </c>
    </row>
    <row r="13" spans="1:2" x14ac:dyDescent="0.45">
      <c r="A13" s="134">
        <v>32755</v>
      </c>
      <c r="B13">
        <v>16712.5</v>
      </c>
    </row>
    <row r="14" spans="1:2" x14ac:dyDescent="0.45">
      <c r="A14" s="134">
        <v>33510</v>
      </c>
      <c r="B14">
        <v>13300</v>
      </c>
    </row>
    <row r="15" spans="1:2" x14ac:dyDescent="0.45">
      <c r="A15" s="134">
        <v>34763</v>
      </c>
      <c r="B15">
        <v>14000</v>
      </c>
    </row>
    <row r="16" spans="1:2" x14ac:dyDescent="0.45">
      <c r="A16" s="134">
        <v>34777</v>
      </c>
      <c r="B16">
        <v>10500</v>
      </c>
    </row>
    <row r="17" spans="1:2" x14ac:dyDescent="0.45">
      <c r="A17" s="134">
        <v>35618</v>
      </c>
      <c r="B17">
        <v>11375</v>
      </c>
    </row>
    <row r="18" spans="1:2" x14ac:dyDescent="0.45">
      <c r="A18" s="134">
        <v>35809</v>
      </c>
      <c r="B18">
        <v>7000</v>
      </c>
    </row>
    <row r="19" spans="1:2" x14ac:dyDescent="0.45">
      <c r="A19" s="134">
        <v>36222</v>
      </c>
      <c r="B19">
        <v>7000</v>
      </c>
    </row>
    <row r="20" spans="1:2" x14ac:dyDescent="0.45">
      <c r="A20" s="134">
        <v>36274</v>
      </c>
      <c r="B20">
        <v>7875</v>
      </c>
    </row>
    <row r="21" spans="1:2" x14ac:dyDescent="0.45">
      <c r="A21" s="134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319</v>
      </c>
      <c r="B2" t="s">
        <v>403</v>
      </c>
    </row>
    <row r="4" spans="1:2" x14ac:dyDescent="0.45">
      <c r="A4" s="132" t="s">
        <v>84</v>
      </c>
      <c r="B4" t="s">
        <v>967</v>
      </c>
    </row>
    <row r="5" spans="1:2" x14ac:dyDescent="0.45">
      <c r="A5" t="s">
        <v>506</v>
      </c>
      <c r="B5">
        <v>49000</v>
      </c>
    </row>
    <row r="6" spans="1:2" x14ac:dyDescent="0.45">
      <c r="A6" t="s">
        <v>90</v>
      </c>
      <c r="B6">
        <v>17500</v>
      </c>
    </row>
    <row r="7" spans="1:2" x14ac:dyDescent="0.45">
      <c r="A7" t="s">
        <v>422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357</v>
      </c>
      <c r="B2" t="s">
        <v>397</v>
      </c>
    </row>
    <row r="4" spans="1:2" x14ac:dyDescent="0.45">
      <c r="A4" s="132" t="s">
        <v>359</v>
      </c>
      <c r="B4" t="s">
        <v>967</v>
      </c>
    </row>
    <row r="5" spans="1:2" x14ac:dyDescent="0.45">
      <c r="A5" s="134">
        <v>30225</v>
      </c>
      <c r="B5">
        <v>15750</v>
      </c>
    </row>
    <row r="6" spans="1:2" x14ac:dyDescent="0.45">
      <c r="A6" s="134">
        <v>31717</v>
      </c>
      <c r="B6">
        <v>15750</v>
      </c>
    </row>
    <row r="7" spans="1:2" x14ac:dyDescent="0.45">
      <c r="A7" s="134">
        <v>32435</v>
      </c>
      <c r="B7">
        <v>15750</v>
      </c>
    </row>
    <row r="8" spans="1:2" x14ac:dyDescent="0.45">
      <c r="A8" s="134">
        <v>32437</v>
      </c>
      <c r="B8">
        <v>19250</v>
      </c>
    </row>
    <row r="9" spans="1:2" x14ac:dyDescent="0.45">
      <c r="A9" s="134">
        <v>32439</v>
      </c>
      <c r="B9">
        <v>17500</v>
      </c>
    </row>
    <row r="10" spans="1:2" x14ac:dyDescent="0.45">
      <c r="A10" s="134">
        <v>32442</v>
      </c>
      <c r="B10">
        <v>17500</v>
      </c>
    </row>
    <row r="11" spans="1:2" x14ac:dyDescent="0.45">
      <c r="A11" s="134">
        <v>32447</v>
      </c>
      <c r="B11">
        <v>17500</v>
      </c>
    </row>
    <row r="12" spans="1:2" x14ac:dyDescent="0.45">
      <c r="A12" s="134">
        <v>32609</v>
      </c>
      <c r="B12">
        <v>17325</v>
      </c>
    </row>
    <row r="13" spans="1:2" x14ac:dyDescent="0.45">
      <c r="A13" s="134">
        <v>33510</v>
      </c>
      <c r="B13">
        <v>8750</v>
      </c>
    </row>
    <row r="14" spans="1:2" x14ac:dyDescent="0.45">
      <c r="A14" s="134">
        <v>34761</v>
      </c>
      <c r="B14">
        <v>15750</v>
      </c>
    </row>
    <row r="15" spans="1:2" x14ac:dyDescent="0.45">
      <c r="A15" s="134">
        <v>35034</v>
      </c>
      <c r="B15">
        <v>15750</v>
      </c>
    </row>
    <row r="16" spans="1:2" x14ac:dyDescent="0.45">
      <c r="A16" s="134">
        <v>35618</v>
      </c>
      <c r="B16">
        <v>7000</v>
      </c>
    </row>
    <row r="17" spans="1:2" x14ac:dyDescent="0.45">
      <c r="A17" s="134">
        <v>35810</v>
      </c>
      <c r="B17">
        <v>17500</v>
      </c>
    </row>
    <row r="18" spans="1:2" x14ac:dyDescent="0.45">
      <c r="A18" s="134">
        <v>36221</v>
      </c>
      <c r="B18">
        <v>7000</v>
      </c>
    </row>
    <row r="19" spans="1:2" x14ac:dyDescent="0.45">
      <c r="A19" s="134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319</v>
      </c>
      <c r="B2" t="s">
        <v>403</v>
      </c>
    </row>
    <row r="4" spans="1:2" x14ac:dyDescent="0.45">
      <c r="A4" s="132" t="s">
        <v>356</v>
      </c>
      <c r="B4" t="s">
        <v>967</v>
      </c>
    </row>
    <row r="5" spans="1:2" x14ac:dyDescent="0.45">
      <c r="A5">
        <v>14</v>
      </c>
      <c r="B5">
        <v>49000</v>
      </c>
    </row>
    <row r="6" spans="1:2" x14ac:dyDescent="0.45">
      <c r="A6">
        <v>65</v>
      </c>
      <c r="B6">
        <v>17500</v>
      </c>
    </row>
    <row r="7" spans="1:2" x14ac:dyDescent="0.45">
      <c r="A7">
        <v>68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319</v>
      </c>
      <c r="B2" t="s">
        <v>485</v>
      </c>
    </row>
    <row r="4" spans="1:2" x14ac:dyDescent="0.45">
      <c r="A4" s="132" t="s">
        <v>356</v>
      </c>
      <c r="B4" t="s">
        <v>967</v>
      </c>
    </row>
    <row r="5" spans="1:2" x14ac:dyDescent="0.45">
      <c r="A5">
        <v>66</v>
      </c>
      <c r="B5">
        <v>17500</v>
      </c>
    </row>
    <row r="6" spans="1:2" x14ac:dyDescent="0.45">
      <c r="A6">
        <v>77</v>
      </c>
      <c r="B6">
        <v>17500</v>
      </c>
    </row>
    <row r="7" spans="1:2" x14ac:dyDescent="0.45">
      <c r="A7">
        <v>99</v>
      </c>
      <c r="B7">
        <v>10500</v>
      </c>
    </row>
    <row r="8" spans="1:2" x14ac:dyDescent="0.45">
      <c r="A8">
        <v>83</v>
      </c>
      <c r="B8">
        <v>7000</v>
      </c>
    </row>
    <row r="9" spans="1:2" x14ac:dyDescent="0.4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319</v>
      </c>
      <c r="B2" t="s">
        <v>403</v>
      </c>
    </row>
    <row r="4" spans="1:2" x14ac:dyDescent="0.45">
      <c r="A4" s="132" t="s">
        <v>358</v>
      </c>
      <c r="B4" t="s">
        <v>967</v>
      </c>
    </row>
    <row r="5" spans="1:2" x14ac:dyDescent="0.45">
      <c r="A5" t="s">
        <v>509</v>
      </c>
      <c r="B5">
        <v>49000</v>
      </c>
    </row>
    <row r="6" spans="1:2" x14ac:dyDescent="0.45">
      <c r="A6" t="s">
        <v>372</v>
      </c>
      <c r="B6">
        <v>17500</v>
      </c>
    </row>
    <row r="7" spans="1:2" x14ac:dyDescent="0.45">
      <c r="A7" t="s">
        <v>385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2" t="s">
        <v>319</v>
      </c>
      <c r="B2" t="s">
        <v>325</v>
      </c>
    </row>
    <row r="4" spans="1:2" x14ac:dyDescent="0.45">
      <c r="A4" s="132" t="s">
        <v>359</v>
      </c>
      <c r="B4" t="s">
        <v>967</v>
      </c>
    </row>
    <row r="5" spans="1:2" x14ac:dyDescent="0.45">
      <c r="A5" s="134">
        <v>28126</v>
      </c>
      <c r="B5">
        <v>17500</v>
      </c>
    </row>
    <row r="6" spans="1:2" x14ac:dyDescent="0.45">
      <c r="A6" s="134">
        <v>32607</v>
      </c>
      <c r="B6">
        <v>17325</v>
      </c>
    </row>
    <row r="7" spans="1:2" x14ac:dyDescent="0.45">
      <c r="A7" s="134">
        <v>36220</v>
      </c>
      <c r="B7">
        <v>7000</v>
      </c>
    </row>
    <row r="8" spans="1:2" x14ac:dyDescent="0.45">
      <c r="A8" s="134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9" x14ac:dyDescent="0.45"/>
  <cols>
    <col min="2" max="2" width="2.796875" customWidth="1"/>
    <col min="3" max="3" width="16.796875" bestFit="1" customWidth="1"/>
  </cols>
  <sheetData>
    <row r="2" spans="2:3" x14ac:dyDescent="0.45">
      <c r="B2" s="135" t="s">
        <v>977</v>
      </c>
    </row>
    <row r="4" spans="2:3" x14ac:dyDescent="0.45">
      <c r="C4" s="132" t="s">
        <v>967</v>
      </c>
    </row>
    <row r="5" spans="2:3" x14ac:dyDescent="0.4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9" x14ac:dyDescent="0.45"/>
  <cols>
    <col min="2" max="2" width="2.796875" customWidth="1"/>
    <col min="3" max="3" width="16.796875" bestFit="1" customWidth="1"/>
    <col min="4" max="12" width="13.59765625" bestFit="1" customWidth="1"/>
    <col min="13" max="13" width="11.6640625" bestFit="1" customWidth="1"/>
  </cols>
  <sheetData>
    <row r="2" spans="2:13" x14ac:dyDescent="0.45">
      <c r="B2" s="135" t="s">
        <v>978</v>
      </c>
    </row>
    <row r="4" spans="2:13" x14ac:dyDescent="0.45">
      <c r="C4" s="132" t="s">
        <v>967</v>
      </c>
      <c r="D4" s="132" t="s">
        <v>357</v>
      </c>
    </row>
    <row r="5" spans="2:13" x14ac:dyDescent="0.45">
      <c r="C5" s="132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45">
      <c r="C6" t="s">
        <v>509</v>
      </c>
      <c r="E6">
        <v>15750</v>
      </c>
      <c r="F6">
        <v>49000</v>
      </c>
      <c r="M6">
        <v>32375</v>
      </c>
    </row>
    <row r="7" spans="2:13" x14ac:dyDescent="0.45">
      <c r="C7" t="s">
        <v>519</v>
      </c>
      <c r="G7">
        <v>24500</v>
      </c>
      <c r="K7">
        <v>17500</v>
      </c>
      <c r="M7">
        <v>21000</v>
      </c>
    </row>
    <row r="8" spans="2:13" x14ac:dyDescent="0.4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45">
      <c r="C9" t="s">
        <v>531</v>
      </c>
      <c r="I9">
        <v>19250</v>
      </c>
      <c r="K9">
        <v>17325</v>
      </c>
      <c r="M9">
        <v>18287.5</v>
      </c>
    </row>
    <row r="10" spans="2:13" x14ac:dyDescent="0.4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4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4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4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4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4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45">
      <c r="C16" t="s">
        <v>398</v>
      </c>
      <c r="E16">
        <v>15750</v>
      </c>
      <c r="I16">
        <v>17325</v>
      </c>
      <c r="M16">
        <v>16537.5</v>
      </c>
    </row>
    <row r="17" spans="3:13" x14ac:dyDescent="0.45">
      <c r="C17" t="s">
        <v>526</v>
      </c>
      <c r="E17">
        <v>17500</v>
      </c>
      <c r="L17">
        <v>14875</v>
      </c>
      <c r="M17">
        <v>16187.5</v>
      </c>
    </row>
    <row r="18" spans="3:13" x14ac:dyDescent="0.4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4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4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45">
      <c r="C21" t="s">
        <v>573</v>
      </c>
      <c r="E21">
        <v>17500</v>
      </c>
      <c r="K21">
        <v>14000</v>
      </c>
      <c r="M21">
        <v>15750</v>
      </c>
    </row>
    <row r="22" spans="3:13" x14ac:dyDescent="0.45">
      <c r="C22" t="s">
        <v>564</v>
      </c>
      <c r="E22">
        <v>15750</v>
      </c>
      <c r="J22">
        <v>15750</v>
      </c>
      <c r="M22">
        <v>15750</v>
      </c>
    </row>
    <row r="23" spans="3:13" x14ac:dyDescent="0.45">
      <c r="C23" t="s">
        <v>401</v>
      </c>
      <c r="E23">
        <v>15750</v>
      </c>
      <c r="M23">
        <v>15750</v>
      </c>
    </row>
    <row r="24" spans="3:13" x14ac:dyDescent="0.4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45">
      <c r="C25" t="s">
        <v>561</v>
      </c>
      <c r="I25">
        <v>17325</v>
      </c>
      <c r="J25">
        <v>11725</v>
      </c>
      <c r="M25">
        <v>14525</v>
      </c>
    </row>
    <row r="26" spans="3:13" x14ac:dyDescent="0.4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4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4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4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4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45">
      <c r="C31" t="s">
        <v>432</v>
      </c>
      <c r="D31">
        <v>12425</v>
      </c>
      <c r="I31">
        <v>10500</v>
      </c>
      <c r="M31">
        <v>11462.5</v>
      </c>
    </row>
    <row r="32" spans="3:13" x14ac:dyDescent="0.45">
      <c r="C32" t="s">
        <v>378</v>
      </c>
      <c r="I32">
        <v>7875</v>
      </c>
      <c r="J32">
        <v>14175</v>
      </c>
      <c r="M32">
        <v>11025</v>
      </c>
    </row>
    <row r="33" spans="3:13" x14ac:dyDescent="0.45">
      <c r="C33" t="s">
        <v>439</v>
      </c>
      <c r="E33">
        <v>7000</v>
      </c>
      <c r="L33">
        <v>14875</v>
      </c>
      <c r="M33">
        <v>10937.5</v>
      </c>
    </row>
    <row r="34" spans="3:13" x14ac:dyDescent="0.4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4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4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BAPS</cp:lastModifiedBy>
  <cp:revision/>
  <dcterms:created xsi:type="dcterms:W3CDTF">2024-10-17T16:19:15Z</dcterms:created>
  <dcterms:modified xsi:type="dcterms:W3CDTF">2026-07-31T16:36:24Z</dcterms:modified>
  <cp:category>IRA Skills</cp:category>
  <cp:contentStatus/>
</cp:coreProperties>
</file>