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Harshi DA-18\"/>
    </mc:Choice>
  </mc:AlternateContent>
  <xr:revisionPtr revIDLastSave="0" documentId="13_ncr:1_{6D978EA4-1C1A-48AD-ACEE-919D20C4905B}" xr6:coauthVersionLast="47" xr6:coauthVersionMax="47" xr10:uidLastSave="{00000000-0000-0000-0000-000000000000}"/>
  <bookViews>
    <workbookView xWindow="-120" yWindow="-120" windowWidth="20730" windowHeight="11040" activeTab="3" xr2:uid="{A5788E9E-6B29-4F0C-869F-0E5DEF9171A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2" i="4"/>
  <c r="G2" i="3" a="1"/>
  <c r="G2" i="3" s="1"/>
  <c r="F3" i="3"/>
  <c r="F4" i="3"/>
  <c r="F5" i="3"/>
  <c r="F2" i="3"/>
  <c r="F3" i="2"/>
  <c r="F4" i="2"/>
  <c r="F5" i="2"/>
  <c r="F2" i="2"/>
  <c r="H5" i="1"/>
  <c r="G5" i="1"/>
  <c r="H4" i="1"/>
  <c r="G4" i="1"/>
  <c r="H3" i="1"/>
  <c r="G3" i="1"/>
  <c r="H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<sst xmlns="http://schemas.openxmlformats.org/spreadsheetml/2006/main" count="153" uniqueCount="117">
  <si>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</si>
  <si>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</si>
  <si>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</si>
  <si>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</si>
  <si>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</si>
  <si>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</si>
  <si>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</si>
  <si>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</si>
  <si>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</si>
  <si>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</si>
  <si>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</si>
  <si>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</si>
  <si>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</si>
  <si>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</si>
  <si>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</si>
  <si>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</si>
  <si>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</si>
  <si>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</si>
  <si>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</si>
  <si>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</si>
  <si>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</si>
  <si>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Amt</t>
  </si>
  <si>
    <t>Order</t>
  </si>
  <si>
    <t>Patient ID</t>
  </si>
  <si>
    <t>Name</t>
  </si>
  <si>
    <t>Age</t>
  </si>
  <si>
    <t>Gender</t>
  </si>
  <si>
    <t>Blood Group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</si>
  <si>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</si>
  <si>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</si>
  <si>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</si>
  <si>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</si>
  <si>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</si>
  <si>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</si>
  <si>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</si>
  <si>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</si>
  <si>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</si>
  <si>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B+</t>
  </si>
  <si>
    <t>P104</t>
  </si>
  <si>
    <t>Meera</t>
  </si>
  <si>
    <t>AB+</t>
  </si>
  <si>
    <t>Age Category</t>
  </si>
  <si>
    <t>Movie</t>
  </si>
  <si>
    <t>Seats</t>
  </si>
  <si>
    <t>Ticket Price</t>
  </si>
  <si>
    <t>Avengers</t>
  </si>
  <si>
    <t>Superman</t>
  </si>
  <si>
    <t>Avatar</t>
  </si>
  <si>
    <t>Jurassic World</t>
  </si>
  <si>
    <t>Total Price</t>
  </si>
  <si>
    <t>Booking ID</t>
  </si>
  <si>
    <t>Am2</t>
  </si>
  <si>
    <t>Ra5</t>
  </si>
  <si>
    <t>Ne3</t>
  </si>
  <si>
    <t>Pr1</t>
  </si>
  <si>
    <t>Booking Status</t>
  </si>
  <si>
    <t>Book ID</t>
  </si>
  <si>
    <t>Book Name</t>
  </si>
  <si>
    <t>Issue Date</t>
  </si>
  <si>
    <t>Return Date</t>
  </si>
  <si>
    <t>B101</t>
  </si>
  <si>
    <t>Python Programming</t>
  </si>
  <si>
    <t>B102</t>
  </si>
  <si>
    <t>Java Basics</t>
  </si>
  <si>
    <t>B103</t>
  </si>
  <si>
    <t>SQL Guide</t>
  </si>
  <si>
    <t>Return in Days</t>
  </si>
  <si>
    <t>Library Code</t>
  </si>
  <si>
    <t>Table</t>
  </si>
  <si>
    <t>Food Item</t>
  </si>
  <si>
    <t>Price</t>
  </si>
  <si>
    <t>T1</t>
  </si>
  <si>
    <t>Pizza</t>
  </si>
  <si>
    <t>T2</t>
  </si>
  <si>
    <t>Burger</t>
  </si>
  <si>
    <t>T3</t>
  </si>
  <si>
    <t>Pasta</t>
  </si>
  <si>
    <t>T4</t>
  </si>
  <si>
    <t>Passenger</t>
  </si>
  <si>
    <t>Passport No</t>
  </si>
  <si>
    <t>Destination</t>
  </si>
  <si>
    <t>Amit Shah</t>
  </si>
  <si>
    <t>M123456</t>
  </si>
  <si>
    <t>Dubai</t>
  </si>
  <si>
    <t>Ravi Patel</t>
  </si>
  <si>
    <t>N654321</t>
  </si>
  <si>
    <t>Singapore</t>
  </si>
  <si>
    <t>Neha Joshi</t>
  </si>
  <si>
    <t>P987654</t>
  </si>
  <si>
    <t>London</t>
  </si>
  <si>
    <t>Player</t>
  </si>
  <si>
    <t>Runs</t>
  </si>
  <si>
    <t>Matches</t>
  </si>
  <si>
    <t>Virat</t>
  </si>
  <si>
    <t>Rohit</t>
  </si>
  <si>
    <t>Gill</t>
  </si>
  <si>
    <t>SKY</t>
  </si>
  <si>
    <t>Member</t>
  </si>
  <si>
    <t>Membership</t>
  </si>
  <si>
    <t>Fee</t>
  </si>
  <si>
    <t>Gold</t>
  </si>
  <si>
    <t>Silver</t>
  </si>
  <si>
    <t>Platinum</t>
  </si>
  <si>
    <t>Student</t>
  </si>
  <si>
    <t>Course</t>
  </si>
  <si>
    <t>Payment Status</t>
  </si>
  <si>
    <t>Excel</t>
  </si>
  <si>
    <t>Paid</t>
  </si>
  <si>
    <t>SQL</t>
  </si>
  <si>
    <t>Power BI</t>
  </si>
  <si>
    <t>Python</t>
  </si>
  <si>
    <t>Candidate</t>
  </si>
  <si>
    <t>Experience</t>
  </si>
  <si>
    <t>Test Score</t>
  </si>
  <si>
    <t>Interview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</si>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</sst>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  <font>
      <sz val="11"/>
      <color theme="0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sz val="16.5"/>
      <color rgb="FF1F2328"/>
      <name val="Segoe UI"/>
      <family val="2"/>
    </font>
    <font>
      <sz val="9"/>
      <color rgb="FF1F232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right" vertical="center" wrapText="1" indent="1"/>
    </xf>
    <xf numFmtId="44" fontId="4" fillId="4" borderId="1" xfId="1" applyFont="1" applyFill="1" applyBorder="1" applyAlignment="1">
      <alignment horizontal="right" vertical="center" wrapText="1" indent="1"/>
    </xf>
    <xf numFmtId="44" fontId="4" fillId="4" borderId="1" xfId="0" applyNumberFormat="1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 inden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 indent="1"/>
    </xf>
    <xf numFmtId="0" fontId="0" fillId="0" borderId="6" xfId="0" applyBorder="1"/>
    <xf numFmtId="0" fontId="5" fillId="2" borderId="7" xfId="2" applyFont="1" applyBorder="1" applyAlignment="1">
      <alignment horizontal="left" vertical="center" wrapText="1" indent="1"/>
    </xf>
    <xf numFmtId="0" fontId="5" fillId="2" borderId="8" xfId="2" applyFont="1" applyBorder="1" applyAlignment="1">
      <alignment horizontal="left" vertical="center" wrapText="1" indent="1"/>
    </xf>
    <xf numFmtId="0" fontId="5" fillId="2" borderId="8" xfId="2" applyFont="1" applyBorder="1" applyAlignment="1">
      <alignment horizontal="right" vertical="center" wrapText="1" indent="1"/>
    </xf>
    <xf numFmtId="44" fontId="5" fillId="2" borderId="8" xfId="2" applyNumberFormat="1" applyFont="1" applyBorder="1" applyAlignment="1">
      <alignment horizontal="right" vertical="center" wrapText="1" indent="1"/>
    </xf>
    <xf numFmtId="44" fontId="5" fillId="2" borderId="8" xfId="2" applyNumberFormat="1" applyFont="1" applyBorder="1" applyAlignment="1">
      <alignment horizontal="left" vertical="center" wrapText="1" indent="1"/>
    </xf>
    <xf numFmtId="0" fontId="5" fillId="0" borderId="9" xfId="0" applyFont="1" applyBorder="1"/>
    <xf numFmtId="0" fontId="7" fillId="5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righ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right" vertical="center" wrapText="1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6" borderId="5" xfId="0" applyFont="1" applyFill="1" applyBorder="1" applyAlignment="1">
      <alignment horizontal="left" vertical="center" wrapText="1" indent="1"/>
    </xf>
    <xf numFmtId="0" fontId="7" fillId="6" borderId="7" xfId="0" applyFont="1" applyFill="1" applyBorder="1" applyAlignment="1">
      <alignment horizontal="left" vertical="center" wrapText="1" indent="1"/>
    </xf>
    <xf numFmtId="0" fontId="7" fillId="6" borderId="8" xfId="0" applyFont="1" applyFill="1" applyBorder="1" applyAlignment="1">
      <alignment horizontal="left" vertical="center" wrapText="1" indent="1"/>
    </xf>
    <xf numFmtId="0" fontId="7" fillId="6" borderId="8" xfId="0" applyFont="1" applyFill="1" applyBorder="1" applyAlignment="1">
      <alignment horizontal="right" vertical="center" wrapText="1" inden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right" vertical="center" wrapText="1" indent="1"/>
    </xf>
    <xf numFmtId="0" fontId="6" fillId="7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0" fillId="5" borderId="1" xfId="0" applyFill="1" applyBorder="1" applyAlignment="1">
      <alignment horizontal="left" vertical="center" wrapText="1" indent="1"/>
    </xf>
    <xf numFmtId="0" fontId="0" fillId="5" borderId="1" xfId="0" applyFill="1" applyBorder="1" applyAlignment="1">
      <alignment horizontal="right" vertical="center" wrapText="1" indent="1"/>
    </xf>
    <xf numFmtId="0" fontId="0" fillId="6" borderId="1" xfId="0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right" vertical="center" wrapText="1" indent="1"/>
    </xf>
    <xf numFmtId="0" fontId="0" fillId="5" borderId="5" xfId="0" applyFill="1" applyBorder="1" applyAlignment="1">
      <alignment horizontal="left" vertical="center" wrapText="1" indent="1"/>
    </xf>
    <xf numFmtId="0" fontId="0" fillId="6" borderId="5" xfId="0" applyFill="1" applyBorder="1" applyAlignment="1">
      <alignment horizontal="left" vertical="center" wrapText="1" indent="1"/>
    </xf>
    <xf numFmtId="0" fontId="0" fillId="6" borderId="7" xfId="0" applyFill="1" applyBorder="1" applyAlignment="1">
      <alignment horizontal="left" vertical="center" wrapText="1" indent="1"/>
    </xf>
    <xf numFmtId="0" fontId="0" fillId="6" borderId="8" xfId="0" applyFill="1" applyBorder="1" applyAlignment="1">
      <alignment horizontal="left" vertical="center" wrapText="1" indent="1"/>
    </xf>
    <xf numFmtId="0" fontId="0" fillId="6" borderId="8" xfId="0" applyFill="1" applyBorder="1" applyAlignment="1">
      <alignment horizontal="right" vertical="center" wrapText="1" inden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right" vertical="center" wrapText="1" indent="1"/>
    </xf>
    <xf numFmtId="0" fontId="8" fillId="7" borderId="4" xfId="0" applyFont="1" applyFill="1" applyBorder="1" applyAlignment="1">
      <alignment horizontal="right" vertical="center" wrapText="1" indent="1"/>
    </xf>
    <xf numFmtId="0" fontId="0" fillId="5" borderId="8" xfId="0" applyFill="1" applyBorder="1" applyAlignment="1">
      <alignment horizontal="right" vertical="center" wrapText="1" indent="1"/>
    </xf>
    <xf numFmtId="0" fontId="0" fillId="0" borderId="9" xfId="0" applyBorder="1"/>
    <xf numFmtId="0" fontId="6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 indent="1"/>
    </xf>
    <xf numFmtId="16" fontId="7" fillId="5" borderId="10" xfId="0" applyNumberFormat="1" applyFont="1" applyFill="1" applyBorder="1" applyAlignment="1">
      <alignment horizontal="left" vertical="center" wrapText="1" indent="1"/>
    </xf>
    <xf numFmtId="0" fontId="7" fillId="6" borderId="10" xfId="0" applyFont="1" applyFill="1" applyBorder="1" applyAlignment="1">
      <alignment horizontal="left" vertical="center" wrapText="1" indent="1"/>
    </xf>
    <xf numFmtId="16" fontId="7" fillId="6" borderId="10" xfId="0" applyNumberFormat="1" applyFont="1" applyFill="1" applyBorder="1" applyAlignment="1">
      <alignment horizontal="left" vertical="center" wrapText="1" inden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16" fontId="0" fillId="0" borderId="0" xfId="0" applyNumberFormat="1"/>
    <xf numFmtId="0" fontId="10" fillId="0" borderId="0" xfId="0" applyFont="1"/>
    <xf numFmtId="0" fontId="6" fillId="5" borderId="10" xfId="0" applyFont="1" applyFill="1" applyBorder="1" applyAlignment="1">
      <alignment horizontal="right" vertical="center" wrapText="1" indent="1"/>
    </xf>
    <xf numFmtId="0" fontId="7" fillId="5" borderId="10" xfId="0" applyFont="1" applyFill="1" applyBorder="1" applyAlignment="1">
      <alignment horizontal="right" vertical="center" wrapText="1" indent="1"/>
    </xf>
    <xf numFmtId="0" fontId="7" fillId="6" borderId="10" xfId="0" applyFont="1" applyFill="1" applyBorder="1" applyAlignment="1">
      <alignment horizontal="right" vertical="center" wrapText="1" indent="1"/>
    </xf>
  </cellXfs>
  <cellStyles count="3">
    <cellStyle name="Bad" xfId="2" builtinId="27"/>
    <cellStyle name="Currency" xfId="1" builtinId="4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64E3-6DDE-4250-9383-FA47437EB23E}">
  <dimension ref="A1:H5"/>
  <sheetViews>
    <sheetView zoomScale="130" zoomScaleNormal="130" workbookViewId="0">
      <selection activeCell="H10" sqref="H10"/>
    </sheetView>
  </sheetViews>
  <sheetFormatPr defaultRowHeight="15" x14ac:dyDescent="0.25"/>
  <cols>
    <col min="1" max="1" width="11" bestFit="1" customWidth="1"/>
    <col min="2" max="2" width="12.140625" bestFit="1" customWidth="1"/>
    <col min="3" max="3" width="12" bestFit="1" customWidth="1"/>
    <col min="4" max="4" width="6.5703125" bestFit="1" customWidth="1"/>
    <col min="5" max="5" width="15.5703125" bestFit="1" customWidth="1"/>
    <col min="6" max="6" width="12.140625" bestFit="1" customWidth="1"/>
    <col min="7" max="7" width="18" customWidth="1"/>
    <col min="8" max="8" width="10.28515625" bestFit="1" customWidth="1"/>
  </cols>
  <sheetData>
    <row r="1" spans="1:8" ht="17.25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6" t="s">
        <v>5</v>
      </c>
      <c r="G1" s="6" t="s">
        <v>21</v>
      </c>
      <c r="H1" s="8" t="s">
        <v>22</v>
      </c>
    </row>
    <row r="2" spans="1:8" ht="17.25" x14ac:dyDescent="0.25">
      <c r="A2" s="9" t="s">
        <v>6</v>
      </c>
      <c r="B2" s="1" t="s">
        <v>7</v>
      </c>
      <c r="C2" s="1" t="s">
        <v>8</v>
      </c>
      <c r="D2" s="2">
        <v>2</v>
      </c>
      <c r="E2" s="3">
        <v>45000</v>
      </c>
      <c r="F2" s="1" t="s">
        <v>9</v>
      </c>
      <c r="G2" s="4">
        <f>D2*E2</f>
        <v>90000</v>
      </c>
      <c r="H2" s="10" t="str">
        <f>IF(G2&gt;50000,"High value","Normal")</f>
        <v>High value</v>
      </c>
    </row>
    <row r="3" spans="1:8" ht="17.25" x14ac:dyDescent="0.25">
      <c r="A3" s="9" t="s">
        <v>10</v>
      </c>
      <c r="B3" s="1" t="s">
        <v>11</v>
      </c>
      <c r="C3" s="1" t="s">
        <v>12</v>
      </c>
      <c r="D3" s="2">
        <v>5</v>
      </c>
      <c r="E3" s="3">
        <v>700</v>
      </c>
      <c r="F3" s="1" t="s">
        <v>13</v>
      </c>
      <c r="G3" s="4">
        <f>D3*E3</f>
        <v>3500</v>
      </c>
      <c r="H3" s="10" t="str">
        <f>IF(G3&gt;50000,"High value","Normal")</f>
        <v>Normal</v>
      </c>
    </row>
    <row r="4" spans="1:8" ht="17.25" x14ac:dyDescent="0.25">
      <c r="A4" s="9" t="s">
        <v>14</v>
      </c>
      <c r="B4" s="1" t="s">
        <v>15</v>
      </c>
      <c r="C4" s="1" t="s">
        <v>16</v>
      </c>
      <c r="D4" s="2">
        <v>3</v>
      </c>
      <c r="E4" s="3">
        <v>1500</v>
      </c>
      <c r="F4" s="1" t="s">
        <v>9</v>
      </c>
      <c r="G4" s="4">
        <f>D4*E4</f>
        <v>4500</v>
      </c>
      <c r="H4" s="10" t="str">
        <f>IF(G4&gt;50000,"High value","Normal")</f>
        <v>Normal</v>
      </c>
    </row>
    <row r="5" spans="1:8" ht="15.75" thickBot="1" x14ac:dyDescent="0.3">
      <c r="A5" s="11" t="s">
        <v>17</v>
      </c>
      <c r="B5" s="12" t="s">
        <v>18</v>
      </c>
      <c r="C5" s="12" t="s">
        <v>19</v>
      </c>
      <c r="D5" s="13">
        <v>1</v>
      </c>
      <c r="E5" s="14">
        <v>18000</v>
      </c>
      <c r="F5" s="12" t="s">
        <v>20</v>
      </c>
      <c r="G5" s="15">
        <f>D5*E5</f>
        <v>18000</v>
      </c>
      <c r="H5" s="16" t="str">
        <f>IF(G5&gt;50000,"High value","Normal")</f>
        <v>Normal</v>
      </c>
    </row>
  </sheetData>
  <conditionalFormatting sqref="A5">
    <cfRule type="cellIs" dxfId="8" priority="3" operator="greaterThan">
      <formula>$A$5</formula>
    </cfRule>
  </conditionalFormatting>
  <conditionalFormatting sqref="G2:G5">
    <cfRule type="cellIs" dxfId="7" priority="1" operator="greaterThan">
      <formula>50000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4A3B-47FD-486A-AECB-5A2C94690543}">
  <dimension ref="A1:F5"/>
  <sheetViews>
    <sheetView workbookViewId="0">
      <selection activeCell="J7" sqref="J7"/>
    </sheetView>
  </sheetViews>
  <sheetFormatPr defaultRowHeight="15" x14ac:dyDescent="0.25"/>
  <cols>
    <col min="1" max="1" width="12.28515625" bestFit="1" customWidth="1"/>
    <col min="2" max="2" width="8.85546875" bestFit="1" customWidth="1"/>
    <col min="3" max="3" width="6.85546875" bestFit="1" customWidth="1"/>
    <col min="4" max="4" width="9.7109375" bestFit="1" customWidth="1"/>
    <col min="5" max="5" width="15.5703125" bestFit="1" customWidth="1"/>
    <col min="6" max="6" width="16.85546875" customWidth="1"/>
  </cols>
  <sheetData>
    <row r="1" spans="1:6" ht="17.25" x14ac:dyDescent="0.25">
      <c r="A1" s="28" t="s">
        <v>23</v>
      </c>
      <c r="B1" s="29" t="s">
        <v>24</v>
      </c>
      <c r="C1" s="30" t="s">
        <v>25</v>
      </c>
      <c r="D1" s="29" t="s">
        <v>26</v>
      </c>
      <c r="E1" s="29" t="s">
        <v>27</v>
      </c>
      <c r="F1" s="31" t="s">
        <v>41</v>
      </c>
    </row>
    <row r="2" spans="1:6" ht="17.25" x14ac:dyDescent="0.25">
      <c r="A2" s="21" t="s">
        <v>28</v>
      </c>
      <c r="B2" s="17" t="s">
        <v>29</v>
      </c>
      <c r="C2" s="18">
        <v>25</v>
      </c>
      <c r="D2" s="17" t="s">
        <v>30</v>
      </c>
      <c r="E2" s="17" t="s">
        <v>31</v>
      </c>
      <c r="F2" s="26" t="str">
        <f>IF(C2&lt;18,"Minor",IF(C2&lt;60,"Adult","Senior Citizen"))</f>
        <v>Adult</v>
      </c>
    </row>
    <row r="3" spans="1:6" ht="34.5" x14ac:dyDescent="0.25">
      <c r="A3" s="22" t="s">
        <v>32</v>
      </c>
      <c r="B3" s="19" t="s">
        <v>33</v>
      </c>
      <c r="C3" s="20">
        <v>62</v>
      </c>
      <c r="D3" s="19" t="s">
        <v>34</v>
      </c>
      <c r="E3" s="19" t="s">
        <v>35</v>
      </c>
      <c r="F3" s="26" t="str">
        <f t="shared" ref="F3:F5" si="0">IF(C3&lt;18,"Minor",IF(C3&lt;60,"Adult","Senior Citizen"))</f>
        <v>Senior Citizen</v>
      </c>
    </row>
    <row r="4" spans="1:6" ht="34.5" x14ac:dyDescent="0.25">
      <c r="A4" s="21" t="s">
        <v>36</v>
      </c>
      <c r="B4" s="17" t="s">
        <v>15</v>
      </c>
      <c r="C4" s="18">
        <v>70</v>
      </c>
      <c r="D4" s="17" t="s">
        <v>30</v>
      </c>
      <c r="E4" s="17" t="s">
        <v>37</v>
      </c>
      <c r="F4" s="26" t="str">
        <f t="shared" si="0"/>
        <v>Senior Citizen</v>
      </c>
    </row>
    <row r="5" spans="1:6" ht="18" thickBot="1" x14ac:dyDescent="0.3">
      <c r="A5" s="23" t="s">
        <v>38</v>
      </c>
      <c r="B5" s="24" t="s">
        <v>39</v>
      </c>
      <c r="C5" s="25">
        <v>15</v>
      </c>
      <c r="D5" s="24" t="s">
        <v>34</v>
      </c>
      <c r="E5" s="24" t="s">
        <v>40</v>
      </c>
      <c r="F5" s="27" t="str">
        <f t="shared" si="0"/>
        <v>Minor</v>
      </c>
    </row>
  </sheetData>
  <conditionalFormatting sqref="C2:C5">
    <cfRule type="cellIs" dxfId="6" priority="1" operator="lessThan">
      <formula>18</formula>
    </cfRule>
    <cfRule type="cellIs" dxfId="5" priority="2" operator="greaterThan">
      <formula>60</formula>
    </cfRule>
    <cfRule type="cellIs" dxfId="4" priority="3" operator="greaterThan">
      <formula>$C$2:$C$5="&gt;60"</formula>
    </cfRule>
  </conditionalFormatting>
  <conditionalFormatting sqref="I4">
    <cfRule type="cellIs" dxfId="3" priority="4" operator="greaterThan">
      <formula>$C$2:$C$5&gt;60</formula>
    </cfRule>
    <cfRule type="cellIs" dxfId="2" priority="5" operator="greaterThan">
      <formula>"&gt;$A$2:$E$5"</formula>
    </cfRule>
    <cfRule type="cellIs" dxfId="1" priority="6" operator="greater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55D2-F783-4519-BF5C-B5692E1275AD}">
  <dimension ref="A1:G6"/>
  <sheetViews>
    <sheetView workbookViewId="0">
      <selection activeCell="I8" sqref="I8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5" bestFit="1" customWidth="1"/>
    <col min="4" max="4" width="7.7109375" bestFit="1" customWidth="1"/>
    <col min="5" max="5" width="14.28515625" bestFit="1" customWidth="1"/>
    <col min="6" max="6" width="13.28515625" bestFit="1" customWidth="1"/>
    <col min="7" max="7" width="17.5703125" bestFit="1" customWidth="1"/>
    <col min="8" max="9" width="20.42578125" customWidth="1"/>
  </cols>
  <sheetData>
    <row r="1" spans="1:7" ht="60" x14ac:dyDescent="0.25">
      <c r="A1" s="42" t="s">
        <v>50</v>
      </c>
      <c r="B1" s="43" t="s">
        <v>1</v>
      </c>
      <c r="C1" s="43" t="s">
        <v>42</v>
      </c>
      <c r="D1" s="44" t="s">
        <v>43</v>
      </c>
      <c r="E1" s="44" t="s">
        <v>44</v>
      </c>
      <c r="F1" s="44" t="s">
        <v>49</v>
      </c>
      <c r="G1" s="45" t="s">
        <v>55</v>
      </c>
    </row>
    <row r="2" spans="1:7" x14ac:dyDescent="0.25">
      <c r="A2" s="37" t="s">
        <v>51</v>
      </c>
      <c r="B2" s="33" t="s">
        <v>7</v>
      </c>
      <c r="C2" s="33" t="s">
        <v>45</v>
      </c>
      <c r="D2" s="34">
        <v>2</v>
      </c>
      <c r="E2" s="34">
        <v>350</v>
      </c>
      <c r="F2" s="34">
        <f>D2*E2</f>
        <v>700</v>
      </c>
      <c r="G2" s="10" t="str" cm="1">
        <f t="array" ref="G2:G5">IF(F2:F5&gt;1000,"Discount Eligible","Regular Booking")</f>
        <v>Regular Booking</v>
      </c>
    </row>
    <row r="3" spans="1:7" x14ac:dyDescent="0.25">
      <c r="A3" s="38" t="s">
        <v>52</v>
      </c>
      <c r="B3" s="35" t="s">
        <v>15</v>
      </c>
      <c r="C3" s="35" t="s">
        <v>46</v>
      </c>
      <c r="D3" s="36">
        <v>5</v>
      </c>
      <c r="E3" s="36">
        <v>280</v>
      </c>
      <c r="F3" s="34">
        <f t="shared" ref="F3:F5" si="0">D3*E3</f>
        <v>1400</v>
      </c>
      <c r="G3" s="10" t="str">
        <v>Discount Eligible</v>
      </c>
    </row>
    <row r="4" spans="1:7" x14ac:dyDescent="0.25">
      <c r="A4" s="37" t="s">
        <v>53</v>
      </c>
      <c r="B4" s="33" t="s">
        <v>11</v>
      </c>
      <c r="C4" s="33" t="s">
        <v>47</v>
      </c>
      <c r="D4" s="34">
        <v>3</v>
      </c>
      <c r="E4" s="34">
        <v>400</v>
      </c>
      <c r="F4" s="34">
        <f t="shared" si="0"/>
        <v>1200</v>
      </c>
      <c r="G4" s="10" t="str">
        <v>Discount Eligible</v>
      </c>
    </row>
    <row r="5" spans="1:7" ht="15.75" thickBot="1" x14ac:dyDescent="0.3">
      <c r="A5" s="39" t="s">
        <v>54</v>
      </c>
      <c r="B5" s="40" t="s">
        <v>18</v>
      </c>
      <c r="C5" s="40" t="s">
        <v>48</v>
      </c>
      <c r="D5" s="41">
        <v>1</v>
      </c>
      <c r="E5" s="41">
        <v>500</v>
      </c>
      <c r="F5" s="46">
        <f t="shared" si="0"/>
        <v>500</v>
      </c>
      <c r="G5" s="47" t="str">
        <v>Regular Booking</v>
      </c>
    </row>
    <row r="6" spans="1:7" ht="24.75" x14ac:dyDescent="0.25">
      <c r="B6" s="32"/>
    </row>
  </sheetData>
  <conditionalFormatting sqref="F2:F5">
    <cfRule type="cellIs" dxfId="0" priority="1" operator="greaterThan">
      <formula>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8FA-0532-40E7-9748-C73A2C793767}">
  <dimension ref="A1:F4"/>
  <sheetViews>
    <sheetView tabSelected="1" workbookViewId="0">
      <selection activeCell="G6" sqref="G6"/>
    </sheetView>
  </sheetViews>
  <sheetFormatPr defaultRowHeight="15" x14ac:dyDescent="0.25"/>
  <cols>
    <col min="1" max="1" width="10" bestFit="1" customWidth="1"/>
    <col min="2" max="2" width="24.42578125" bestFit="1" customWidth="1"/>
    <col min="3" max="3" width="12.85546875" bestFit="1" customWidth="1"/>
    <col min="4" max="4" width="14.85546875" bestFit="1" customWidth="1"/>
    <col min="5" max="5" width="16.7109375" bestFit="1" customWidth="1"/>
  </cols>
  <sheetData>
    <row r="1" spans="1:6" ht="35.25" thickBot="1" x14ac:dyDescent="0.3">
      <c r="A1" s="53" t="s">
        <v>56</v>
      </c>
      <c r="B1" s="53" t="s">
        <v>57</v>
      </c>
      <c r="C1" s="53" t="s">
        <v>58</v>
      </c>
      <c r="D1" s="53" t="s">
        <v>59</v>
      </c>
      <c r="E1" s="54" t="s">
        <v>66</v>
      </c>
      <c r="F1" s="54" t="s">
        <v>67</v>
      </c>
    </row>
    <row r="2" spans="1:6" ht="18" thickBot="1" x14ac:dyDescent="0.3">
      <c r="A2" s="49" t="s">
        <v>60</v>
      </c>
      <c r="B2" s="49" t="s">
        <v>61</v>
      </c>
      <c r="C2" s="50">
        <v>46204</v>
      </c>
      <c r="D2" s="50">
        <v>46211</v>
      </c>
      <c r="E2" s="55" t="str">
        <f>IF(D2-C2&gt;7,"Late Rerurned","Returned on time")</f>
        <v>Returned on time</v>
      </c>
      <c r="F2" s="56"/>
    </row>
    <row r="3" spans="1:6" ht="18" thickBot="1" x14ac:dyDescent="0.3">
      <c r="A3" s="51" t="s">
        <v>62</v>
      </c>
      <c r="B3" s="51" t="s">
        <v>63</v>
      </c>
      <c r="C3" s="52">
        <v>46205</v>
      </c>
      <c r="D3" s="52">
        <v>46221</v>
      </c>
      <c r="E3" s="55" t="str">
        <f t="shared" ref="E3:E4" si="0">IF(D3-C3&gt;7,"Late Rerurned","Returned on time")</f>
        <v>Late Rerurned</v>
      </c>
    </row>
    <row r="4" spans="1:6" ht="18" thickBot="1" x14ac:dyDescent="0.3">
      <c r="A4" s="49" t="s">
        <v>64</v>
      </c>
      <c r="B4" s="49" t="s">
        <v>65</v>
      </c>
      <c r="C4" s="50">
        <v>46208</v>
      </c>
      <c r="D4" s="50">
        <v>46215</v>
      </c>
      <c r="E4" s="55" t="str">
        <f t="shared" si="0"/>
        <v>Returned on time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2618-8499-423E-9FDA-C7C27CBB9454}">
  <dimension ref="A1:E5"/>
  <sheetViews>
    <sheetView workbookViewId="0">
      <selection sqref="A1:E5"/>
    </sheetView>
  </sheetViews>
  <sheetFormatPr defaultRowHeight="15" x14ac:dyDescent="0.25"/>
  <sheetData>
    <row r="1" spans="1:5" ht="35.25" thickBot="1" x14ac:dyDescent="0.3">
      <c r="A1" s="48" t="s">
        <v>68</v>
      </c>
      <c r="B1" s="48" t="s">
        <v>1</v>
      </c>
      <c r="C1" s="48" t="s">
        <v>69</v>
      </c>
      <c r="D1" s="57" t="s">
        <v>3</v>
      </c>
      <c r="E1" s="57" t="s">
        <v>70</v>
      </c>
    </row>
    <row r="2" spans="1:5" ht="18" thickBot="1" x14ac:dyDescent="0.3">
      <c r="A2" s="49" t="s">
        <v>71</v>
      </c>
      <c r="B2" s="49" t="s">
        <v>7</v>
      </c>
      <c r="C2" s="49" t="s">
        <v>72</v>
      </c>
      <c r="D2" s="58">
        <v>2</v>
      </c>
      <c r="E2" s="58">
        <v>350</v>
      </c>
    </row>
    <row r="3" spans="1:5" ht="35.25" thickBot="1" x14ac:dyDescent="0.3">
      <c r="A3" s="51" t="s">
        <v>73</v>
      </c>
      <c r="B3" s="51" t="s">
        <v>15</v>
      </c>
      <c r="C3" s="51" t="s">
        <v>74</v>
      </c>
      <c r="D3" s="59">
        <v>3</v>
      </c>
      <c r="E3" s="59">
        <v>180</v>
      </c>
    </row>
    <row r="4" spans="1:5" ht="18" thickBot="1" x14ac:dyDescent="0.3">
      <c r="A4" s="49" t="s">
        <v>75</v>
      </c>
      <c r="B4" s="49" t="s">
        <v>18</v>
      </c>
      <c r="C4" s="49" t="s">
        <v>76</v>
      </c>
      <c r="D4" s="58">
        <v>1</v>
      </c>
      <c r="E4" s="58">
        <v>280</v>
      </c>
    </row>
    <row r="5" spans="1:5" ht="18" thickBot="1" x14ac:dyDescent="0.3">
      <c r="A5" s="51" t="s">
        <v>77</v>
      </c>
      <c r="B5" s="51" t="s">
        <v>11</v>
      </c>
      <c r="C5" s="51" t="s">
        <v>72</v>
      </c>
      <c r="D5" s="59">
        <v>4</v>
      </c>
      <c r="E5" s="59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AFBB-AD7B-4D58-AC60-73B05EFC8140}">
  <dimension ref="A1:C4"/>
  <sheetViews>
    <sheetView workbookViewId="0"/>
  </sheetViews>
  <sheetFormatPr defaultRowHeight="15" x14ac:dyDescent="0.25"/>
  <sheetData>
    <row r="1" spans="1:3" ht="35.25" thickBot="1" x14ac:dyDescent="0.3">
      <c r="A1" s="48" t="s">
        <v>78</v>
      </c>
      <c r="B1" s="48" t="s">
        <v>79</v>
      </c>
      <c r="C1" s="48" t="s">
        <v>80</v>
      </c>
    </row>
    <row r="2" spans="1:3" ht="35.25" thickBot="1" x14ac:dyDescent="0.3">
      <c r="A2" s="49" t="s">
        <v>81</v>
      </c>
      <c r="B2" s="49" t="s">
        <v>82</v>
      </c>
      <c r="C2" s="49" t="s">
        <v>83</v>
      </c>
    </row>
    <row r="3" spans="1:3" ht="35.25" thickBot="1" x14ac:dyDescent="0.3">
      <c r="A3" s="51" t="s">
        <v>84</v>
      </c>
      <c r="B3" s="51" t="s">
        <v>85</v>
      </c>
      <c r="C3" s="51" t="s">
        <v>86</v>
      </c>
    </row>
    <row r="4" spans="1:3" ht="35.25" thickBot="1" x14ac:dyDescent="0.3">
      <c r="A4" s="49" t="s">
        <v>87</v>
      </c>
      <c r="B4" s="49" t="s">
        <v>88</v>
      </c>
      <c r="C4" s="49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174D-A6CB-4BE6-87B1-89902E135ABB}">
  <dimension ref="A1:C5"/>
  <sheetViews>
    <sheetView workbookViewId="0">
      <selection sqref="A1:C5"/>
    </sheetView>
  </sheetViews>
  <sheetFormatPr defaultRowHeight="15" x14ac:dyDescent="0.25"/>
  <sheetData>
    <row r="1" spans="1:3" ht="35.25" thickBot="1" x14ac:dyDescent="0.3">
      <c r="A1" s="48" t="s">
        <v>90</v>
      </c>
      <c r="B1" s="57" t="s">
        <v>91</v>
      </c>
      <c r="C1" s="57" t="s">
        <v>92</v>
      </c>
    </row>
    <row r="2" spans="1:3" ht="18" thickBot="1" x14ac:dyDescent="0.3">
      <c r="A2" s="49" t="s">
        <v>93</v>
      </c>
      <c r="B2" s="58">
        <v>450</v>
      </c>
      <c r="C2" s="58">
        <v>8</v>
      </c>
    </row>
    <row r="3" spans="1:3" ht="18" thickBot="1" x14ac:dyDescent="0.3">
      <c r="A3" s="51" t="s">
        <v>94</v>
      </c>
      <c r="B3" s="59">
        <v>320</v>
      </c>
      <c r="C3" s="59">
        <v>7</v>
      </c>
    </row>
    <row r="4" spans="1:3" ht="18" thickBot="1" x14ac:dyDescent="0.3">
      <c r="A4" s="49" t="s">
        <v>95</v>
      </c>
      <c r="B4" s="58">
        <v>520</v>
      </c>
      <c r="C4" s="58">
        <v>9</v>
      </c>
    </row>
    <row r="5" spans="1:3" ht="18" thickBot="1" x14ac:dyDescent="0.3">
      <c r="A5" s="51" t="s">
        <v>96</v>
      </c>
      <c r="B5" s="59">
        <v>280</v>
      </c>
      <c r="C5" s="59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293A-3F57-4E6F-B916-4911F575542F}">
  <dimension ref="A1:D5"/>
  <sheetViews>
    <sheetView workbookViewId="0">
      <selection sqref="A1:D5"/>
    </sheetView>
  </sheetViews>
  <sheetFormatPr defaultRowHeight="15" x14ac:dyDescent="0.25"/>
  <sheetData>
    <row r="1" spans="1:4" ht="35.25" thickBot="1" x14ac:dyDescent="0.3">
      <c r="A1" s="48" t="s">
        <v>97</v>
      </c>
      <c r="B1" s="57" t="s">
        <v>25</v>
      </c>
      <c r="C1" s="48" t="s">
        <v>98</v>
      </c>
      <c r="D1" s="57" t="s">
        <v>99</v>
      </c>
    </row>
    <row r="2" spans="1:4" ht="18" thickBot="1" x14ac:dyDescent="0.3">
      <c r="A2" s="49" t="s">
        <v>7</v>
      </c>
      <c r="B2" s="58">
        <v>22</v>
      </c>
      <c r="C2" s="49" t="s">
        <v>100</v>
      </c>
      <c r="D2" s="58">
        <v>2500</v>
      </c>
    </row>
    <row r="3" spans="1:4" ht="18" thickBot="1" x14ac:dyDescent="0.3">
      <c r="A3" s="51" t="s">
        <v>15</v>
      </c>
      <c r="B3" s="59">
        <v>45</v>
      </c>
      <c r="C3" s="51" t="s">
        <v>101</v>
      </c>
      <c r="D3" s="59">
        <v>1800</v>
      </c>
    </row>
    <row r="4" spans="1:4" ht="35.25" thickBot="1" x14ac:dyDescent="0.3">
      <c r="A4" s="49" t="s">
        <v>11</v>
      </c>
      <c r="B4" s="58">
        <v>31</v>
      </c>
      <c r="C4" s="49" t="s">
        <v>102</v>
      </c>
      <c r="D4" s="58">
        <v>4000</v>
      </c>
    </row>
    <row r="5" spans="1:4" ht="18" thickBot="1" x14ac:dyDescent="0.3">
      <c r="A5" s="51" t="s">
        <v>18</v>
      </c>
      <c r="B5" s="59">
        <v>26</v>
      </c>
      <c r="C5" s="51" t="s">
        <v>100</v>
      </c>
      <c r="D5" s="59">
        <v>2500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B8FF-031A-4DA2-BFF4-0E156BBEBEB4}">
  <dimension ref="A1:D5"/>
  <sheetViews>
    <sheetView workbookViewId="0">
      <selection sqref="A1:D5"/>
    </sheetView>
  </sheetViews>
  <sheetFormatPr defaultRowHeight="15" x14ac:dyDescent="0.25"/>
  <sheetData>
    <row r="1" spans="1:4" ht="52.5" thickBot="1" x14ac:dyDescent="0.3">
      <c r="A1" s="48" t="s">
        <v>103</v>
      </c>
      <c r="B1" s="48" t="s">
        <v>104</v>
      </c>
      <c r="C1" s="57" t="s">
        <v>99</v>
      </c>
      <c r="D1" s="48" t="s">
        <v>105</v>
      </c>
    </row>
    <row r="2" spans="1:4" ht="18" thickBot="1" x14ac:dyDescent="0.3">
      <c r="A2" s="49" t="s">
        <v>7</v>
      </c>
      <c r="B2" s="49" t="s">
        <v>106</v>
      </c>
      <c r="C2" s="58">
        <v>5000</v>
      </c>
      <c r="D2" s="49" t="s">
        <v>107</v>
      </c>
    </row>
    <row r="3" spans="1:4" ht="35.25" thickBot="1" x14ac:dyDescent="0.3">
      <c r="A3" s="51" t="s">
        <v>15</v>
      </c>
      <c r="B3" s="51" t="s">
        <v>108</v>
      </c>
      <c r="C3" s="59">
        <v>6000</v>
      </c>
      <c r="D3" s="51" t="s">
        <v>13</v>
      </c>
    </row>
    <row r="4" spans="1:4" ht="35.25" thickBot="1" x14ac:dyDescent="0.3">
      <c r="A4" s="49" t="s">
        <v>18</v>
      </c>
      <c r="B4" s="49" t="s">
        <v>109</v>
      </c>
      <c r="C4" s="58">
        <v>7000</v>
      </c>
      <c r="D4" s="49" t="s">
        <v>107</v>
      </c>
    </row>
    <row r="5" spans="1:4" ht="35.25" thickBot="1" x14ac:dyDescent="0.3">
      <c r="A5" s="51" t="s">
        <v>11</v>
      </c>
      <c r="B5" s="51" t="s">
        <v>110</v>
      </c>
      <c r="C5" s="59">
        <v>8000</v>
      </c>
      <c r="D5" s="51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B15B-30E1-44A0-B6BA-194075C66FEC}">
  <dimension ref="A1:D5"/>
  <sheetViews>
    <sheetView workbookViewId="0">
      <selection activeCell="L21" sqref="L21"/>
    </sheetView>
  </sheetViews>
  <sheetFormatPr defaultRowHeight="15" x14ac:dyDescent="0.25"/>
  <sheetData>
    <row r="1" spans="1:4" ht="35.25" thickBot="1" x14ac:dyDescent="0.3">
      <c r="A1" s="48" t="s">
        <v>111</v>
      </c>
      <c r="B1" s="57" t="s">
        <v>112</v>
      </c>
      <c r="C1" s="57" t="s">
        <v>113</v>
      </c>
      <c r="D1" s="48" t="s">
        <v>114</v>
      </c>
    </row>
    <row r="2" spans="1:4" ht="18" thickBot="1" x14ac:dyDescent="0.3">
      <c r="A2" s="49" t="s">
        <v>7</v>
      </c>
      <c r="B2" s="58">
        <v>2</v>
      </c>
      <c r="C2" s="58">
        <v>85</v>
      </c>
      <c r="D2" s="49" t="s">
        <v>115</v>
      </c>
    </row>
    <row r="3" spans="1:4" ht="18" thickBot="1" x14ac:dyDescent="0.3">
      <c r="A3" s="51" t="s">
        <v>15</v>
      </c>
      <c r="B3" s="59">
        <v>0</v>
      </c>
      <c r="C3" s="59">
        <v>78</v>
      </c>
      <c r="D3" s="51" t="s">
        <v>116</v>
      </c>
    </row>
    <row r="4" spans="1:4" ht="18" thickBot="1" x14ac:dyDescent="0.3">
      <c r="A4" s="49" t="s">
        <v>18</v>
      </c>
      <c r="B4" s="58">
        <v>4</v>
      </c>
      <c r="C4" s="58">
        <v>91</v>
      </c>
      <c r="D4" s="49" t="s">
        <v>115</v>
      </c>
    </row>
    <row r="5" spans="1:4" ht="18" thickBot="1" x14ac:dyDescent="0.3">
      <c r="A5" s="51" t="s">
        <v>11</v>
      </c>
      <c r="B5" s="59">
        <v>1</v>
      </c>
      <c r="C5" s="59">
        <v>68</v>
      </c>
      <c r="D5" s="5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2026-07-05T09:32:34Z</dcterms:created>
  <dcterms:modified xsi:type="dcterms:W3CDTF">2026-07-11T07:49:01Z</dcterms:modified>
</cp:coreProperties>
</file>