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3\Desktop\"/>
    </mc:Choice>
  </mc:AlternateContent>
  <xr:revisionPtr revIDLastSave="0" documentId="13_ncr:1_{9DC92381-E071-4616-A2CA-4AAA8FD5DD74}" xr6:coauthVersionLast="47" xr6:coauthVersionMax="47" xr10:uidLastSave="{00000000-0000-0000-0000-000000000000}"/>
  <bookViews>
    <workbookView xWindow="-120" yWindow="-120" windowWidth="20730" windowHeight="11040" activeTab="6" xr2:uid="{AA6FCADC-ED22-406D-976B-8A676CB1277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6" l="1"/>
  <c r="B8" i="6"/>
  <c r="H3" i="5"/>
  <c r="I4" i="5"/>
  <c r="H4" i="5"/>
  <c r="G4" i="5"/>
  <c r="I3" i="5"/>
  <c r="G3" i="5"/>
  <c r="I2" i="5"/>
  <c r="H2" i="5"/>
  <c r="G2" i="5"/>
  <c r="C25" i="4"/>
  <c r="C24" i="4"/>
  <c r="C23" i="4"/>
  <c r="C2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G2" i="3"/>
  <c r="F2" i="3"/>
  <c r="F3" i="3"/>
  <c r="F4" i="3"/>
  <c r="F5" i="3"/>
  <c r="F6" i="3"/>
</calcChain>
</file>

<file path=xl/sharedStrings.xml><?xml version="1.0" encoding="utf-8"?>
<sst xmlns="http://schemas.openxmlformats.org/spreadsheetml/2006/main" count="365" uniqueCount="136">
  <si>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</si>
  <si>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</si>
  <si>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</si>
  <si>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</si>
  <si>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</si>
  <si>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</si>
  <si>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</si>
  <si>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</si>
  <si>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</si>
  <si>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</si>
  <si>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</si>
  <si>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</si>
  <si>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</si>
  <si>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</si>
  <si>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</si>
  <si>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</si>
  <si>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</si>
  <si>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</si>
  <si>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</si>
  <si>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</si>
  <si>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</si>
  <si>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</si>
  <si>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</si>
  <si>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</si>
  <si>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</si>
  <si>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</si>
  <si>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</si>
  <si>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</si>
  <si>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</si>
  <si>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</si>
  <si>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</si>
  <si>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</si>
  <si>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</si>
  <si>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</si>
  <si>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Ankita Patel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</si>
  <si>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</si>
  <si>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</si>
  <si>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</si>
  <si>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</si>
  <si>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</si>
  <si>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</si>
  <si>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</si>
  <si>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</si>
  <si>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</si>
  <si>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</si>
  <si>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</si>
  <si>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</si>
  <si>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</si>
  <si>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</si>
  <si>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</si>
  <si>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</si>
  <si>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</si>
  <si>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</si>
  <si>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</si>
  <si>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</si>
  <si>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</si>
  <si>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</si>
  <si>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</si>
  <si>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</si>
  <si>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</si>
  <si>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</si>
  <si>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</si>
  <si>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</si>
  <si>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Total</t>
  </si>
  <si>
    <t>Invoice No</t>
  </si>
  <si>
    <t>Date</t>
  </si>
  <si>
    <t>INV001</t>
  </si>
  <si>
    <t>INV002</t>
  </si>
  <si>
    <t>INV003</t>
  </si>
  <si>
    <t>INV004</t>
  </si>
  <si>
    <t>INV005</t>
  </si>
  <si>
    <t>Laptop Dell Inspiron 16</t>
  </si>
  <si>
    <t>Laptop Dell Inspiron 17</t>
  </si>
  <si>
    <t>Laptop Dell Inspiron 18</t>
  </si>
  <si>
    <t>Laptop Dell Inspiron 19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</si>
  <si>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</si>
  <si>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</si>
  <si>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</si>
  <si>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</si>
  <si>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</si>
  <si>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</si>
  <si>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</si>
  <si>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</si>
  <si>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</si>
  <si>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</si>
  <si>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</si>
  <si>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</si>
  <si>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</si>
  <si>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</si>
  <si>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</si>
  <si>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Avg. Sales</t>
  </si>
  <si>
    <t>Highest Sales</t>
  </si>
  <si>
    <t>Lowest Sales</t>
  </si>
  <si>
    <t>Employee Name</t>
  </si>
  <si>
    <t>Suresh</t>
  </si>
  <si>
    <t>Meena</t>
  </si>
  <si>
    <t>Karan</t>
  </si>
  <si>
    <t>Ritu</t>
  </si>
  <si>
    <t>Aman</t>
  </si>
  <si>
    <t>Neel</t>
  </si>
  <si>
    <t>Total Salary</t>
  </si>
  <si>
    <t>Average Salary</t>
  </si>
  <si>
    <t>Count</t>
  </si>
  <si>
    <t>Day 1</t>
  </si>
  <si>
    <t>Day 2</t>
  </si>
  <si>
    <t>Day 3</t>
  </si>
  <si>
    <t>Day 4</t>
  </si>
  <si>
    <t>Day 5</t>
  </si>
  <si>
    <t>P</t>
  </si>
  <si>
    <t>A</t>
  </si>
  <si>
    <t>Present Days</t>
  </si>
  <si>
    <t>Absent Days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</si>
  <si>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</si>
  <si>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</si>
  <si>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</si>
  <si>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</si>
  <si>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</si>
  <si>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</si>
  <si>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</si>
  <si>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</si>
  <si>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</si>
  <si>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</si>
  <si>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</si>
  <si>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</si>
  <si>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</si>
  <si>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</si>
  <si>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</si>
  <si>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Order ID</t>
  </si>
  <si>
    <t>O101</t>
  </si>
  <si>
    <t>O102</t>
  </si>
  <si>
    <t>O103</t>
  </si>
  <si>
    <t>O104</t>
  </si>
  <si>
    <t>O105</t>
  </si>
  <si>
    <t>O106</t>
  </si>
  <si>
    <t>Count sales above 10000</t>
  </si>
  <si>
    <t>Count sales below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</si>
</sst>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9" formatCode="_ [$₹-4009]\ * #,##0.00_ ;_ [$₹-4009]\ * \-#,##0.00_ ;_ [$₹-4009]\ * &quot;-&quot;??_ ;_ @_ "/>
    <numFmt numFmtId="173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Segoe UI"/>
      <family val="2"/>
    </font>
    <font>
      <sz val="12"/>
      <name val="Segoe UI"/>
      <family val="2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name val="Segoe UI"/>
      <family val="2"/>
    </font>
    <font>
      <sz val="11"/>
      <name val="Segoe UI"/>
      <family val="2"/>
    </font>
    <font>
      <b/>
      <sz val="1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169" fontId="4" fillId="3" borderId="2" xfId="0" applyNumberFormat="1" applyFont="1" applyFill="1" applyBorder="1" applyAlignment="1">
      <alignment horizontal="left" vertical="center" wrapText="1" indent="1"/>
    </xf>
    <xf numFmtId="14" fontId="4" fillId="3" borderId="2" xfId="0" applyNumberFormat="1" applyFont="1" applyFill="1" applyBorder="1" applyAlignment="1">
      <alignment horizontal="left" vertical="center" wrapText="1" indent="1"/>
    </xf>
    <xf numFmtId="0" fontId="0" fillId="0" borderId="2" xfId="0" applyBorder="1"/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 indent="1"/>
    </xf>
    <xf numFmtId="14" fontId="4" fillId="3" borderId="7" xfId="0" applyNumberFormat="1" applyFont="1" applyFill="1" applyBorder="1" applyAlignment="1">
      <alignment horizontal="left" vertical="center" wrapText="1" indent="1"/>
    </xf>
    <xf numFmtId="0" fontId="0" fillId="0" borderId="9" xfId="0" applyBorder="1"/>
    <xf numFmtId="0" fontId="4" fillId="3" borderId="11" xfId="0" applyFont="1" applyFill="1" applyBorder="1" applyAlignment="1">
      <alignment horizontal="left" vertical="center" wrapText="1" indent="1"/>
    </xf>
    <xf numFmtId="0" fontId="4" fillId="3" borderId="12" xfId="0" applyFont="1" applyFill="1" applyBorder="1" applyAlignment="1">
      <alignment horizontal="left" vertical="center" wrapText="1" indent="1"/>
    </xf>
    <xf numFmtId="169" fontId="4" fillId="3" borderId="12" xfId="0" applyNumberFormat="1" applyFont="1" applyFill="1" applyBorder="1" applyAlignment="1">
      <alignment horizontal="left" vertical="center" wrapText="1" indent="1"/>
    </xf>
    <xf numFmtId="14" fontId="4" fillId="3" borderId="13" xfId="0" applyNumberFormat="1" applyFont="1" applyFill="1" applyBorder="1" applyAlignment="1">
      <alignment horizontal="left" vertical="center" wrapText="1" indent="1"/>
    </xf>
    <xf numFmtId="0" fontId="4" fillId="3" borderId="0" xfId="0" applyFont="1" applyFill="1" applyBorder="1" applyAlignment="1">
      <alignment horizontal="left" vertical="center" wrapText="1" indent="1"/>
    </xf>
    <xf numFmtId="169" fontId="0" fillId="0" borderId="0" xfId="2" applyNumberFormat="1" applyFont="1"/>
    <xf numFmtId="169" fontId="4" fillId="3" borderId="2" xfId="2" applyNumberFormat="1" applyFont="1" applyFill="1" applyBorder="1" applyAlignment="1">
      <alignment horizontal="left" vertical="center" wrapText="1" indent="1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left" vertical="center" wrapText="1" indent="1"/>
    </xf>
    <xf numFmtId="9" fontId="4" fillId="3" borderId="7" xfId="3" applyFont="1" applyFill="1" applyBorder="1" applyAlignment="1">
      <alignment horizontal="left" vertical="center" wrapText="1" indent="1"/>
    </xf>
    <xf numFmtId="9" fontId="4" fillId="3" borderId="13" xfId="3" applyFont="1" applyFill="1" applyBorder="1" applyAlignment="1">
      <alignment horizontal="left" vertical="center" wrapText="1" inden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169" fontId="3" fillId="7" borderId="15" xfId="2" applyNumberFormat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2" fillId="2" borderId="3" xfId="4" applyFont="1" applyBorder="1" applyAlignment="1">
      <alignment horizontal="center" vertical="center" wrapText="1"/>
    </xf>
    <xf numFmtId="0" fontId="2" fillId="2" borderId="4" xfId="4" applyFont="1" applyBorder="1" applyAlignment="1">
      <alignment horizontal="center" vertical="center" wrapText="1"/>
    </xf>
    <xf numFmtId="0" fontId="2" fillId="2" borderId="5" xfId="4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3" borderId="8" xfId="0" applyFont="1" applyFill="1" applyBorder="1" applyAlignment="1">
      <alignment horizontal="left" vertical="center" wrapText="1" indent="1"/>
    </xf>
    <xf numFmtId="14" fontId="4" fillId="3" borderId="9" xfId="0" applyNumberFormat="1" applyFont="1" applyFill="1" applyBorder="1" applyAlignment="1">
      <alignment horizontal="left" vertical="center" wrapText="1" indent="1"/>
    </xf>
    <xf numFmtId="0" fontId="4" fillId="3" borderId="10" xfId="0" applyFont="1" applyFill="1" applyBorder="1" applyAlignment="1">
      <alignment horizontal="left" vertical="center" wrapText="1" inden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 indent="1"/>
    </xf>
    <xf numFmtId="14" fontId="4" fillId="3" borderId="15" xfId="0" applyNumberFormat="1" applyFont="1" applyFill="1" applyBorder="1" applyAlignment="1">
      <alignment horizontal="left" vertical="center" wrapText="1" indent="1"/>
    </xf>
    <xf numFmtId="0" fontId="4" fillId="3" borderId="16" xfId="0" applyFont="1" applyFill="1" applyBorder="1" applyAlignment="1">
      <alignment horizontal="left" vertical="center" wrapText="1" indent="1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 indent="1"/>
    </xf>
    <xf numFmtId="43" fontId="8" fillId="9" borderId="1" xfId="1" applyFont="1" applyFill="1" applyBorder="1" applyAlignment="1">
      <alignment horizontal="left" vertical="center" wrapText="1" indent="1"/>
    </xf>
    <xf numFmtId="173" fontId="8" fillId="9" borderId="1" xfId="1" applyNumberFormat="1" applyFont="1" applyFill="1" applyBorder="1" applyAlignment="1">
      <alignment horizontal="left" vertical="center" wrapText="1" indent="1"/>
    </xf>
    <xf numFmtId="0" fontId="9" fillId="8" borderId="1" xfId="0" applyFont="1" applyFill="1" applyBorder="1" applyAlignment="1">
      <alignment horizontal="center" vertical="center" wrapText="1"/>
    </xf>
    <xf numFmtId="173" fontId="9" fillId="8" borderId="1" xfId="1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 indent="1"/>
    </xf>
    <xf numFmtId="0" fontId="2" fillId="10" borderId="2" xfId="0" applyFont="1" applyFill="1" applyBorder="1"/>
    <xf numFmtId="0" fontId="4" fillId="0" borderId="0" xfId="0" applyFont="1" applyAlignment="1">
      <alignment horizontal="left" vertical="center" wrapText="1" indent="1"/>
    </xf>
  </cellXfs>
  <cellStyles count="5">
    <cellStyle name="60% - Accent1" xfId="4" builtinId="32"/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ADBE-8BDA-4D34-9D3D-A7950E4FF115}">
  <dimension ref="A1:E22"/>
  <sheetViews>
    <sheetView workbookViewId="0">
      <selection sqref="A1:E21"/>
    </sheetView>
  </sheetViews>
  <sheetFormatPr defaultRowHeight="15" x14ac:dyDescent="0.25"/>
  <cols>
    <col min="1" max="1" width="15.42578125" style="6" bestFit="1" customWidth="1"/>
    <col min="2" max="2" width="15.7109375" style="6" bestFit="1" customWidth="1"/>
    <col min="3" max="3" width="14.7109375" style="6" bestFit="1" customWidth="1"/>
    <col min="4" max="4" width="15.5703125" style="6" bestFit="1" customWidth="1"/>
    <col min="5" max="5" width="15.42578125" style="6" bestFit="1" customWidth="1"/>
  </cols>
  <sheetData>
    <row r="1" spans="1:5" ht="17.25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ht="17.25" x14ac:dyDescent="0.25">
      <c r="A2" s="10" t="s">
        <v>5</v>
      </c>
      <c r="B2" s="3" t="s">
        <v>6</v>
      </c>
      <c r="C2" s="3" t="s">
        <v>7</v>
      </c>
      <c r="D2" s="4">
        <v>32000</v>
      </c>
      <c r="E2" s="11">
        <v>44573</v>
      </c>
    </row>
    <row r="3" spans="1:5" ht="17.25" x14ac:dyDescent="0.25">
      <c r="A3" s="10" t="s">
        <v>8</v>
      </c>
      <c r="B3" s="3" t="s">
        <v>9</v>
      </c>
      <c r="C3" s="3" t="s">
        <v>10</v>
      </c>
      <c r="D3" s="4">
        <v>45000</v>
      </c>
      <c r="E3" s="11">
        <v>44260</v>
      </c>
    </row>
    <row r="4" spans="1:5" ht="17.25" x14ac:dyDescent="0.25">
      <c r="A4" s="10" t="s">
        <v>11</v>
      </c>
      <c r="B4" s="3" t="s">
        <v>12</v>
      </c>
      <c r="C4" s="3" t="s">
        <v>13</v>
      </c>
      <c r="D4" s="4">
        <v>38000</v>
      </c>
      <c r="E4" s="11">
        <v>44030</v>
      </c>
    </row>
    <row r="5" spans="1:5" ht="17.25" x14ac:dyDescent="0.25">
      <c r="A5" s="10" t="s">
        <v>14</v>
      </c>
      <c r="B5" s="3" t="s">
        <v>15</v>
      </c>
      <c r="C5" s="3" t="s">
        <v>10</v>
      </c>
      <c r="D5" s="4">
        <v>52000</v>
      </c>
      <c r="E5" s="11">
        <v>43779</v>
      </c>
    </row>
    <row r="6" spans="1:5" ht="17.25" x14ac:dyDescent="0.25">
      <c r="A6" s="10" t="s">
        <v>16</v>
      </c>
      <c r="B6" s="3" t="s">
        <v>17</v>
      </c>
      <c r="C6" s="3" t="s">
        <v>18</v>
      </c>
      <c r="D6" s="4">
        <v>30000</v>
      </c>
      <c r="E6" s="11">
        <v>45102</v>
      </c>
    </row>
    <row r="7" spans="1:5" ht="17.25" x14ac:dyDescent="0.25">
      <c r="A7" s="10" t="s">
        <v>19</v>
      </c>
      <c r="B7" s="3" t="s">
        <v>6</v>
      </c>
      <c r="C7" s="3" t="s">
        <v>7</v>
      </c>
      <c r="D7" s="4">
        <v>30001</v>
      </c>
      <c r="E7" s="11">
        <v>44573</v>
      </c>
    </row>
    <row r="8" spans="1:5" ht="17.25" x14ac:dyDescent="0.25">
      <c r="A8" s="10" t="s">
        <v>20</v>
      </c>
      <c r="B8" s="3" t="s">
        <v>9</v>
      </c>
      <c r="C8" s="3" t="s">
        <v>10</v>
      </c>
      <c r="D8" s="4">
        <v>30002</v>
      </c>
      <c r="E8" s="11">
        <v>44260</v>
      </c>
    </row>
    <row r="9" spans="1:5" ht="17.25" x14ac:dyDescent="0.25">
      <c r="A9" s="10" t="s">
        <v>21</v>
      </c>
      <c r="B9" s="3" t="s">
        <v>12</v>
      </c>
      <c r="C9" s="3" t="s">
        <v>13</v>
      </c>
      <c r="D9" s="4">
        <v>30003</v>
      </c>
      <c r="E9" s="11">
        <v>44030</v>
      </c>
    </row>
    <row r="10" spans="1:5" ht="17.25" x14ac:dyDescent="0.25">
      <c r="A10" s="10" t="s">
        <v>22</v>
      </c>
      <c r="B10" s="3" t="s">
        <v>15</v>
      </c>
      <c r="C10" s="3" t="s">
        <v>10</v>
      </c>
      <c r="D10" s="4">
        <v>30004</v>
      </c>
      <c r="E10" s="11">
        <v>43779</v>
      </c>
    </row>
    <row r="11" spans="1:5" ht="17.25" x14ac:dyDescent="0.25">
      <c r="A11" s="10" t="s">
        <v>23</v>
      </c>
      <c r="B11" s="3" t="s">
        <v>17</v>
      </c>
      <c r="C11" s="3" t="s">
        <v>18</v>
      </c>
      <c r="D11" s="4">
        <v>30005</v>
      </c>
      <c r="E11" s="11">
        <v>45102</v>
      </c>
    </row>
    <row r="12" spans="1:5" ht="17.25" x14ac:dyDescent="0.25">
      <c r="A12" s="10" t="s">
        <v>24</v>
      </c>
      <c r="B12" s="3" t="s">
        <v>6</v>
      </c>
      <c r="C12" s="3" t="s">
        <v>7</v>
      </c>
      <c r="D12" s="4">
        <v>30006</v>
      </c>
      <c r="E12" s="11">
        <v>44573</v>
      </c>
    </row>
    <row r="13" spans="1:5" ht="17.25" x14ac:dyDescent="0.25">
      <c r="A13" s="10" t="s">
        <v>25</v>
      </c>
      <c r="B13" s="3" t="s">
        <v>9</v>
      </c>
      <c r="C13" s="3" t="s">
        <v>10</v>
      </c>
      <c r="D13" s="4">
        <v>30007</v>
      </c>
      <c r="E13" s="11">
        <v>44260</v>
      </c>
    </row>
    <row r="14" spans="1:5" ht="17.25" x14ac:dyDescent="0.25">
      <c r="A14" s="10" t="s">
        <v>26</v>
      </c>
      <c r="B14" s="3" t="s">
        <v>12</v>
      </c>
      <c r="C14" s="3" t="s">
        <v>13</v>
      </c>
      <c r="D14" s="4">
        <v>30008</v>
      </c>
      <c r="E14" s="11">
        <v>44030</v>
      </c>
    </row>
    <row r="15" spans="1:5" ht="17.25" x14ac:dyDescent="0.25">
      <c r="A15" s="10" t="s">
        <v>27</v>
      </c>
      <c r="B15" s="3" t="s">
        <v>15</v>
      </c>
      <c r="C15" s="3" t="s">
        <v>10</v>
      </c>
      <c r="D15" s="4">
        <v>30009</v>
      </c>
      <c r="E15" s="11">
        <v>43779</v>
      </c>
    </row>
    <row r="16" spans="1:5" ht="17.25" x14ac:dyDescent="0.25">
      <c r="A16" s="10" t="s">
        <v>28</v>
      </c>
      <c r="B16" s="3" t="s">
        <v>17</v>
      </c>
      <c r="C16" s="3" t="s">
        <v>18</v>
      </c>
      <c r="D16" s="4">
        <v>30010</v>
      </c>
      <c r="E16" s="11">
        <v>45102</v>
      </c>
    </row>
    <row r="17" spans="1:5" ht="17.25" x14ac:dyDescent="0.25">
      <c r="A17" s="10" t="s">
        <v>29</v>
      </c>
      <c r="B17" s="3" t="s">
        <v>6</v>
      </c>
      <c r="C17" s="3" t="s">
        <v>7</v>
      </c>
      <c r="D17" s="4">
        <v>30011</v>
      </c>
      <c r="E17" s="11">
        <v>44573</v>
      </c>
    </row>
    <row r="18" spans="1:5" ht="17.25" x14ac:dyDescent="0.25">
      <c r="A18" s="10" t="s">
        <v>30</v>
      </c>
      <c r="B18" s="3" t="s">
        <v>9</v>
      </c>
      <c r="C18" s="3" t="s">
        <v>10</v>
      </c>
      <c r="D18" s="4">
        <v>30012</v>
      </c>
      <c r="E18" s="11">
        <v>44260</v>
      </c>
    </row>
    <row r="19" spans="1:5" ht="17.25" x14ac:dyDescent="0.25">
      <c r="A19" s="10" t="s">
        <v>31</v>
      </c>
      <c r="B19" s="3" t="s">
        <v>12</v>
      </c>
      <c r="C19" s="3" t="s">
        <v>13</v>
      </c>
      <c r="D19" s="4">
        <v>30013</v>
      </c>
      <c r="E19" s="11">
        <v>44030</v>
      </c>
    </row>
    <row r="20" spans="1:5" ht="17.25" x14ac:dyDescent="0.25">
      <c r="A20" s="10" t="s">
        <v>32</v>
      </c>
      <c r="B20" s="3" t="s">
        <v>15</v>
      </c>
      <c r="C20" s="3" t="s">
        <v>10</v>
      </c>
      <c r="D20" s="4">
        <v>30014</v>
      </c>
      <c r="E20" s="11">
        <v>43779</v>
      </c>
    </row>
    <row r="21" spans="1:5" ht="18" thickBot="1" x14ac:dyDescent="0.3">
      <c r="A21" s="13" t="s">
        <v>33</v>
      </c>
      <c r="B21" s="14" t="s">
        <v>34</v>
      </c>
      <c r="C21" s="14" t="s">
        <v>18</v>
      </c>
      <c r="D21" s="15">
        <v>30015</v>
      </c>
      <c r="E21" s="16">
        <v>45102</v>
      </c>
    </row>
    <row r="22" spans="1:5" x14ac:dyDescent="0.25">
      <c r="A22" s="12"/>
      <c r="B22" s="12"/>
      <c r="C22" s="12"/>
      <c r="D22" s="12"/>
      <c r="E22" s="12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F901-6706-4160-B948-CDF6A134C017}">
  <dimension ref="A1:D22"/>
  <sheetViews>
    <sheetView workbookViewId="0">
      <selection activeCell="M3" sqref="M3"/>
    </sheetView>
  </sheetViews>
  <sheetFormatPr defaultRowHeight="15" x14ac:dyDescent="0.25"/>
  <cols>
    <col min="1" max="1" width="26.28515625" bestFit="1" customWidth="1"/>
    <col min="2" max="2" width="9.140625" bestFit="1" customWidth="1"/>
    <col min="3" max="3" width="17.7109375" style="18" bestFit="1" customWidth="1"/>
    <col min="4" max="4" width="15" bestFit="1" customWidth="1"/>
  </cols>
  <sheetData>
    <row r="1" spans="1:4" ht="21" x14ac:dyDescent="0.35">
      <c r="A1" s="20" t="s">
        <v>51</v>
      </c>
      <c r="B1" s="21"/>
      <c r="C1" s="21"/>
      <c r="D1" s="22"/>
    </row>
    <row r="2" spans="1:4" ht="17.25" x14ac:dyDescent="0.25">
      <c r="A2" s="26" t="s">
        <v>35</v>
      </c>
      <c r="B2" s="27" t="s">
        <v>36</v>
      </c>
      <c r="C2" s="28" t="s">
        <v>37</v>
      </c>
      <c r="D2" s="29" t="s">
        <v>38</v>
      </c>
    </row>
    <row r="3" spans="1:4" ht="17.25" x14ac:dyDescent="0.25">
      <c r="A3" s="3" t="s">
        <v>39</v>
      </c>
      <c r="B3" s="3" t="s">
        <v>40</v>
      </c>
      <c r="C3" s="19">
        <v>45000</v>
      </c>
      <c r="D3" s="3" t="s">
        <v>41</v>
      </c>
    </row>
    <row r="4" spans="1:4" ht="17.25" x14ac:dyDescent="0.25">
      <c r="A4" s="3" t="s">
        <v>42</v>
      </c>
      <c r="B4" s="3" t="s">
        <v>43</v>
      </c>
      <c r="C4" s="19">
        <v>1200</v>
      </c>
      <c r="D4" s="3" t="s">
        <v>44</v>
      </c>
    </row>
    <row r="5" spans="1:4" ht="34.5" x14ac:dyDescent="0.25">
      <c r="A5" s="3" t="s">
        <v>45</v>
      </c>
      <c r="B5" s="3" t="s">
        <v>46</v>
      </c>
      <c r="C5" s="19">
        <v>18000</v>
      </c>
      <c r="D5" s="3" t="s">
        <v>47</v>
      </c>
    </row>
    <row r="6" spans="1:4" ht="34.5" x14ac:dyDescent="0.25">
      <c r="A6" s="3" t="s">
        <v>48</v>
      </c>
      <c r="B6" s="3" t="s">
        <v>49</v>
      </c>
      <c r="C6" s="19">
        <v>62000</v>
      </c>
      <c r="D6" s="3" t="s">
        <v>50</v>
      </c>
    </row>
    <row r="7" spans="1:4" ht="17.25" x14ac:dyDescent="0.25">
      <c r="A7" s="3" t="s">
        <v>71</v>
      </c>
      <c r="B7" s="3" t="s">
        <v>40</v>
      </c>
      <c r="C7" s="19">
        <v>48500</v>
      </c>
      <c r="D7" s="3" t="s">
        <v>41</v>
      </c>
    </row>
    <row r="8" spans="1:4" ht="17.25" x14ac:dyDescent="0.25">
      <c r="A8" s="3" t="s">
        <v>42</v>
      </c>
      <c r="B8" s="3" t="s">
        <v>43</v>
      </c>
      <c r="C8" s="19">
        <v>55280</v>
      </c>
      <c r="D8" s="3" t="s">
        <v>44</v>
      </c>
    </row>
    <row r="9" spans="1:4" ht="34.5" x14ac:dyDescent="0.25">
      <c r="A9" s="3" t="s">
        <v>45</v>
      </c>
      <c r="B9" s="3" t="s">
        <v>46</v>
      </c>
      <c r="C9" s="19">
        <v>62060</v>
      </c>
      <c r="D9" s="3" t="s">
        <v>47</v>
      </c>
    </row>
    <row r="10" spans="1:4" ht="34.5" x14ac:dyDescent="0.25">
      <c r="A10" s="3" t="s">
        <v>48</v>
      </c>
      <c r="B10" s="3" t="s">
        <v>49</v>
      </c>
      <c r="C10" s="19">
        <v>68840</v>
      </c>
      <c r="D10" s="3" t="s">
        <v>50</v>
      </c>
    </row>
    <row r="11" spans="1:4" ht="17.25" x14ac:dyDescent="0.25">
      <c r="A11" s="3" t="s">
        <v>72</v>
      </c>
      <c r="B11" s="3" t="s">
        <v>40</v>
      </c>
      <c r="C11" s="19">
        <v>75620</v>
      </c>
      <c r="D11" s="3" t="s">
        <v>41</v>
      </c>
    </row>
    <row r="12" spans="1:4" ht="17.25" x14ac:dyDescent="0.25">
      <c r="A12" s="3" t="s">
        <v>42</v>
      </c>
      <c r="B12" s="3" t="s">
        <v>43</v>
      </c>
      <c r="C12" s="19">
        <v>82400</v>
      </c>
      <c r="D12" s="3" t="s">
        <v>44</v>
      </c>
    </row>
    <row r="13" spans="1:4" ht="34.5" x14ac:dyDescent="0.25">
      <c r="A13" s="3" t="s">
        <v>45</v>
      </c>
      <c r="B13" s="3" t="s">
        <v>46</v>
      </c>
      <c r="C13" s="19">
        <v>89180</v>
      </c>
      <c r="D13" s="3" t="s">
        <v>47</v>
      </c>
    </row>
    <row r="14" spans="1:4" ht="34.5" x14ac:dyDescent="0.25">
      <c r="A14" s="3" t="s">
        <v>48</v>
      </c>
      <c r="B14" s="3" t="s">
        <v>49</v>
      </c>
      <c r="C14" s="19">
        <v>95960</v>
      </c>
      <c r="D14" s="3" t="s">
        <v>50</v>
      </c>
    </row>
    <row r="15" spans="1:4" ht="17.25" x14ac:dyDescent="0.25">
      <c r="A15" s="3" t="s">
        <v>73</v>
      </c>
      <c r="B15" s="3" t="s">
        <v>40</v>
      </c>
      <c r="C15" s="19">
        <v>102740</v>
      </c>
      <c r="D15" s="3" t="s">
        <v>41</v>
      </c>
    </row>
    <row r="16" spans="1:4" ht="17.25" x14ac:dyDescent="0.25">
      <c r="A16" s="3" t="s">
        <v>42</v>
      </c>
      <c r="B16" s="3" t="s">
        <v>43</v>
      </c>
      <c r="C16" s="19">
        <v>109520</v>
      </c>
      <c r="D16" s="3" t="s">
        <v>44</v>
      </c>
    </row>
    <row r="17" spans="1:4" ht="34.5" x14ac:dyDescent="0.25">
      <c r="A17" s="3" t="s">
        <v>45</v>
      </c>
      <c r="B17" s="3" t="s">
        <v>46</v>
      </c>
      <c r="C17" s="19">
        <v>116300</v>
      </c>
      <c r="D17" s="3" t="s">
        <v>47</v>
      </c>
    </row>
    <row r="18" spans="1:4" ht="34.5" x14ac:dyDescent="0.25">
      <c r="A18" s="3" t="s">
        <v>48</v>
      </c>
      <c r="B18" s="3" t="s">
        <v>49</v>
      </c>
      <c r="C18" s="19">
        <v>123080</v>
      </c>
      <c r="D18" s="3" t="s">
        <v>50</v>
      </c>
    </row>
    <row r="19" spans="1:4" ht="17.25" x14ac:dyDescent="0.25">
      <c r="A19" s="3" t="s">
        <v>74</v>
      </c>
      <c r="B19" s="3" t="s">
        <v>40</v>
      </c>
      <c r="C19" s="19">
        <v>129860</v>
      </c>
      <c r="D19" s="3" t="s">
        <v>41</v>
      </c>
    </row>
    <row r="20" spans="1:4" ht="17.25" x14ac:dyDescent="0.25">
      <c r="A20" s="3" t="s">
        <v>42</v>
      </c>
      <c r="B20" s="3" t="s">
        <v>43</v>
      </c>
      <c r="C20" s="19">
        <v>136640</v>
      </c>
      <c r="D20" s="3" t="s">
        <v>44</v>
      </c>
    </row>
    <row r="21" spans="1:4" ht="34.5" x14ac:dyDescent="0.25">
      <c r="A21" s="3" t="s">
        <v>45</v>
      </c>
      <c r="B21" s="3" t="s">
        <v>46</v>
      </c>
      <c r="C21" s="19">
        <v>143420</v>
      </c>
      <c r="D21" s="3" t="s">
        <v>47</v>
      </c>
    </row>
    <row r="22" spans="1:4" ht="17.25" x14ac:dyDescent="0.25">
      <c r="A22" s="3" t="s">
        <v>71</v>
      </c>
      <c r="B22" s="3" t="s">
        <v>40</v>
      </c>
      <c r="C22" s="19">
        <v>150200</v>
      </c>
      <c r="D22" s="3" t="s">
        <v>41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F4FA-402D-4919-8282-EC7B418634C2}">
  <dimension ref="A1:G21"/>
  <sheetViews>
    <sheetView zoomScale="120" zoomScaleNormal="120" workbookViewId="0">
      <selection activeCell="H7" sqref="H7"/>
    </sheetView>
  </sheetViews>
  <sheetFormatPr defaultRowHeight="15" x14ac:dyDescent="0.25"/>
  <cols>
    <col min="1" max="1" width="9.7109375" bestFit="1" customWidth="1"/>
    <col min="2" max="2" width="17.5703125" bestFit="1" customWidth="1"/>
    <col min="3" max="3" width="8.140625" bestFit="1" customWidth="1"/>
    <col min="4" max="4" width="9.7109375" bestFit="1" customWidth="1"/>
    <col min="5" max="5" width="9.42578125" bestFit="1" customWidth="1"/>
    <col min="6" max="6" width="9.42578125" customWidth="1"/>
    <col min="7" max="7" width="13.85546875" bestFit="1" customWidth="1"/>
  </cols>
  <sheetData>
    <row r="1" spans="1:7" x14ac:dyDescent="0.25">
      <c r="A1" s="30" t="s">
        <v>52</v>
      </c>
      <c r="B1" s="31" t="s">
        <v>53</v>
      </c>
      <c r="C1" s="31" t="s">
        <v>54</v>
      </c>
      <c r="D1" s="31" t="s">
        <v>55</v>
      </c>
      <c r="E1" s="31" t="s">
        <v>56</v>
      </c>
      <c r="F1" s="31" t="s">
        <v>63</v>
      </c>
      <c r="G1" s="32" t="s">
        <v>57</v>
      </c>
    </row>
    <row r="2" spans="1:7" ht="17.25" x14ac:dyDescent="0.25">
      <c r="A2" s="10">
        <v>1</v>
      </c>
      <c r="B2" s="3" t="s">
        <v>58</v>
      </c>
      <c r="C2" s="3">
        <v>78</v>
      </c>
      <c r="D2" s="3">
        <v>82</v>
      </c>
      <c r="E2" s="3">
        <v>74</v>
      </c>
      <c r="F2" s="3">
        <f>SUM(C2:E2)</f>
        <v>234</v>
      </c>
      <c r="G2" s="24">
        <f>F2/300</f>
        <v>0.78</v>
      </c>
    </row>
    <row r="3" spans="1:7" ht="17.25" x14ac:dyDescent="0.25">
      <c r="A3" s="10">
        <v>2</v>
      </c>
      <c r="B3" s="3" t="s">
        <v>59</v>
      </c>
      <c r="C3" s="3">
        <v>65</v>
      </c>
      <c r="D3" s="3">
        <v>70</v>
      </c>
      <c r="E3" s="3">
        <v>68</v>
      </c>
      <c r="F3" s="3">
        <f>SUM(C3:E3)</f>
        <v>203</v>
      </c>
      <c r="G3" s="24">
        <f t="shared" ref="G3:G21" si="0">F3/300</f>
        <v>0.67666666666666664</v>
      </c>
    </row>
    <row r="4" spans="1:7" ht="17.25" x14ac:dyDescent="0.25">
      <c r="A4" s="10">
        <v>3</v>
      </c>
      <c r="B4" s="3" t="s">
        <v>60</v>
      </c>
      <c r="C4" s="3">
        <v>90</v>
      </c>
      <c r="D4" s="3">
        <v>88</v>
      </c>
      <c r="E4" s="3">
        <v>92</v>
      </c>
      <c r="F4" s="3">
        <f>SUM(C4:E4)</f>
        <v>270</v>
      </c>
      <c r="G4" s="24">
        <f t="shared" si="0"/>
        <v>0.9</v>
      </c>
    </row>
    <row r="5" spans="1:7" ht="17.25" x14ac:dyDescent="0.25">
      <c r="A5" s="10">
        <v>4</v>
      </c>
      <c r="B5" s="3" t="s">
        <v>61</v>
      </c>
      <c r="C5" s="3">
        <v>35</v>
      </c>
      <c r="D5" s="3">
        <v>40</v>
      </c>
      <c r="E5" s="3">
        <v>38</v>
      </c>
      <c r="F5" s="3">
        <f>SUM(C5:E5)</f>
        <v>113</v>
      </c>
      <c r="G5" s="24">
        <f t="shared" si="0"/>
        <v>0.37666666666666665</v>
      </c>
    </row>
    <row r="6" spans="1:7" ht="17.25" x14ac:dyDescent="0.25">
      <c r="A6" s="10">
        <v>5</v>
      </c>
      <c r="B6" s="3" t="s">
        <v>62</v>
      </c>
      <c r="C6" s="3">
        <v>55</v>
      </c>
      <c r="D6" s="3">
        <v>60</v>
      </c>
      <c r="E6" s="3">
        <v>58</v>
      </c>
      <c r="F6" s="3">
        <f>SUM(C6:E6)</f>
        <v>173</v>
      </c>
      <c r="G6" s="24">
        <f t="shared" si="0"/>
        <v>0.57666666666666666</v>
      </c>
    </row>
    <row r="7" spans="1:7" ht="17.25" x14ac:dyDescent="0.25">
      <c r="A7" s="10">
        <v>1</v>
      </c>
      <c r="B7" s="3" t="s">
        <v>58</v>
      </c>
      <c r="C7" s="3">
        <v>78</v>
      </c>
      <c r="D7" s="3">
        <v>82</v>
      </c>
      <c r="E7" s="3">
        <v>74</v>
      </c>
      <c r="F7" s="3">
        <f t="shared" ref="F7:F21" si="1">SUM(C7:E7)</f>
        <v>234</v>
      </c>
      <c r="G7" s="24">
        <f t="shared" si="0"/>
        <v>0.78</v>
      </c>
    </row>
    <row r="8" spans="1:7" ht="17.25" x14ac:dyDescent="0.25">
      <c r="A8" s="10">
        <v>2</v>
      </c>
      <c r="B8" s="3" t="s">
        <v>59</v>
      </c>
      <c r="C8" s="3">
        <v>65</v>
      </c>
      <c r="D8" s="3">
        <v>70</v>
      </c>
      <c r="E8" s="3">
        <v>68</v>
      </c>
      <c r="F8" s="3">
        <f t="shared" si="1"/>
        <v>203</v>
      </c>
      <c r="G8" s="24">
        <f t="shared" si="0"/>
        <v>0.67666666666666664</v>
      </c>
    </row>
    <row r="9" spans="1:7" ht="17.25" x14ac:dyDescent="0.25">
      <c r="A9" s="10">
        <v>3</v>
      </c>
      <c r="B9" s="3" t="s">
        <v>60</v>
      </c>
      <c r="C9" s="3">
        <v>90</v>
      </c>
      <c r="D9" s="3">
        <v>88</v>
      </c>
      <c r="E9" s="3">
        <v>92</v>
      </c>
      <c r="F9" s="3">
        <f t="shared" si="1"/>
        <v>270</v>
      </c>
      <c r="G9" s="24">
        <f t="shared" si="0"/>
        <v>0.9</v>
      </c>
    </row>
    <row r="10" spans="1:7" ht="17.25" x14ac:dyDescent="0.25">
      <c r="A10" s="10">
        <v>4</v>
      </c>
      <c r="B10" s="3" t="s">
        <v>61</v>
      </c>
      <c r="C10" s="3">
        <v>35</v>
      </c>
      <c r="D10" s="3">
        <v>40</v>
      </c>
      <c r="E10" s="3">
        <v>38</v>
      </c>
      <c r="F10" s="3">
        <f t="shared" si="1"/>
        <v>113</v>
      </c>
      <c r="G10" s="24">
        <f t="shared" si="0"/>
        <v>0.37666666666666665</v>
      </c>
    </row>
    <row r="11" spans="1:7" ht="17.25" x14ac:dyDescent="0.25">
      <c r="A11" s="10">
        <v>5</v>
      </c>
      <c r="B11" s="3" t="s">
        <v>62</v>
      </c>
      <c r="C11" s="3">
        <v>55</v>
      </c>
      <c r="D11" s="3">
        <v>60</v>
      </c>
      <c r="E11" s="3">
        <v>58</v>
      </c>
      <c r="F11" s="3">
        <f t="shared" si="1"/>
        <v>173</v>
      </c>
      <c r="G11" s="24">
        <f t="shared" si="0"/>
        <v>0.57666666666666666</v>
      </c>
    </row>
    <row r="12" spans="1:7" ht="17.25" x14ac:dyDescent="0.25">
      <c r="A12" s="10">
        <v>1</v>
      </c>
      <c r="B12" s="3" t="s">
        <v>58</v>
      </c>
      <c r="C12" s="3">
        <v>78</v>
      </c>
      <c r="D12" s="3">
        <v>82</v>
      </c>
      <c r="E12" s="3">
        <v>74</v>
      </c>
      <c r="F12" s="3">
        <f t="shared" si="1"/>
        <v>234</v>
      </c>
      <c r="G12" s="24">
        <f t="shared" si="0"/>
        <v>0.78</v>
      </c>
    </row>
    <row r="13" spans="1:7" ht="17.25" x14ac:dyDescent="0.25">
      <c r="A13" s="10">
        <v>2</v>
      </c>
      <c r="B13" s="3" t="s">
        <v>59</v>
      </c>
      <c r="C13" s="3">
        <v>65</v>
      </c>
      <c r="D13" s="3">
        <v>70</v>
      </c>
      <c r="E13" s="3">
        <v>68</v>
      </c>
      <c r="F13" s="3">
        <f t="shared" si="1"/>
        <v>203</v>
      </c>
      <c r="G13" s="24">
        <f t="shared" si="0"/>
        <v>0.67666666666666664</v>
      </c>
    </row>
    <row r="14" spans="1:7" ht="17.25" x14ac:dyDescent="0.25">
      <c r="A14" s="10">
        <v>3</v>
      </c>
      <c r="B14" s="3" t="s">
        <v>60</v>
      </c>
      <c r="C14" s="3">
        <v>90</v>
      </c>
      <c r="D14" s="3">
        <v>88</v>
      </c>
      <c r="E14" s="3">
        <v>92</v>
      </c>
      <c r="F14" s="3">
        <f t="shared" si="1"/>
        <v>270</v>
      </c>
      <c r="G14" s="24">
        <f t="shared" si="0"/>
        <v>0.9</v>
      </c>
    </row>
    <row r="15" spans="1:7" ht="17.25" x14ac:dyDescent="0.25">
      <c r="A15" s="10">
        <v>4</v>
      </c>
      <c r="B15" s="3" t="s">
        <v>61</v>
      </c>
      <c r="C15" s="3">
        <v>35</v>
      </c>
      <c r="D15" s="3">
        <v>40</v>
      </c>
      <c r="E15" s="3">
        <v>38</v>
      </c>
      <c r="F15" s="3">
        <f t="shared" si="1"/>
        <v>113</v>
      </c>
      <c r="G15" s="24">
        <f t="shared" si="0"/>
        <v>0.37666666666666665</v>
      </c>
    </row>
    <row r="16" spans="1:7" ht="17.25" x14ac:dyDescent="0.25">
      <c r="A16" s="10">
        <v>5</v>
      </c>
      <c r="B16" s="3" t="s">
        <v>62</v>
      </c>
      <c r="C16" s="3">
        <v>55</v>
      </c>
      <c r="D16" s="3">
        <v>60</v>
      </c>
      <c r="E16" s="3">
        <v>58</v>
      </c>
      <c r="F16" s="3">
        <f t="shared" si="1"/>
        <v>173</v>
      </c>
      <c r="G16" s="24">
        <f t="shared" si="0"/>
        <v>0.57666666666666666</v>
      </c>
    </row>
    <row r="17" spans="1:7" ht="17.25" x14ac:dyDescent="0.25">
      <c r="A17" s="10">
        <v>1</v>
      </c>
      <c r="B17" s="3" t="s">
        <v>58</v>
      </c>
      <c r="C17" s="3">
        <v>78</v>
      </c>
      <c r="D17" s="3">
        <v>82</v>
      </c>
      <c r="E17" s="3">
        <v>74</v>
      </c>
      <c r="F17" s="3">
        <f t="shared" si="1"/>
        <v>234</v>
      </c>
      <c r="G17" s="24">
        <f t="shared" si="0"/>
        <v>0.78</v>
      </c>
    </row>
    <row r="18" spans="1:7" ht="17.25" x14ac:dyDescent="0.25">
      <c r="A18" s="10">
        <v>2</v>
      </c>
      <c r="B18" s="3" t="s">
        <v>59</v>
      </c>
      <c r="C18" s="3">
        <v>65</v>
      </c>
      <c r="D18" s="3">
        <v>70</v>
      </c>
      <c r="E18" s="3">
        <v>68</v>
      </c>
      <c r="F18" s="3">
        <f t="shared" si="1"/>
        <v>203</v>
      </c>
      <c r="G18" s="24">
        <f t="shared" si="0"/>
        <v>0.67666666666666664</v>
      </c>
    </row>
    <row r="19" spans="1:7" ht="17.25" x14ac:dyDescent="0.25">
      <c r="A19" s="10">
        <v>3</v>
      </c>
      <c r="B19" s="3" t="s">
        <v>60</v>
      </c>
      <c r="C19" s="3">
        <v>90</v>
      </c>
      <c r="D19" s="3">
        <v>88</v>
      </c>
      <c r="E19" s="3">
        <v>92</v>
      </c>
      <c r="F19" s="3">
        <f t="shared" si="1"/>
        <v>270</v>
      </c>
      <c r="G19" s="24">
        <f t="shared" si="0"/>
        <v>0.9</v>
      </c>
    </row>
    <row r="20" spans="1:7" ht="17.25" x14ac:dyDescent="0.25">
      <c r="A20" s="10">
        <v>4</v>
      </c>
      <c r="B20" s="3" t="s">
        <v>61</v>
      </c>
      <c r="C20" s="3">
        <v>35</v>
      </c>
      <c r="D20" s="3">
        <v>40</v>
      </c>
      <c r="E20" s="3">
        <v>38</v>
      </c>
      <c r="F20" s="3">
        <f t="shared" si="1"/>
        <v>113</v>
      </c>
      <c r="G20" s="24">
        <f t="shared" si="0"/>
        <v>0.37666666666666665</v>
      </c>
    </row>
    <row r="21" spans="1:7" ht="18" thickBot="1" x14ac:dyDescent="0.3">
      <c r="A21" s="13">
        <v>5</v>
      </c>
      <c r="B21" s="14" t="s">
        <v>62</v>
      </c>
      <c r="C21" s="14">
        <v>55</v>
      </c>
      <c r="D21" s="14">
        <v>60</v>
      </c>
      <c r="E21" s="14">
        <v>58</v>
      </c>
      <c r="F21" s="14">
        <f t="shared" si="1"/>
        <v>173</v>
      </c>
      <c r="G21" s="25">
        <f t="shared" si="0"/>
        <v>0.57666666666666666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498B-1A73-4D84-BFED-1538B5471198}">
  <dimension ref="A1:C26"/>
  <sheetViews>
    <sheetView topLeftCell="A19" workbookViewId="0">
      <selection activeCell="E19" sqref="E19"/>
    </sheetView>
  </sheetViews>
  <sheetFormatPr defaultRowHeight="15" x14ac:dyDescent="0.25"/>
  <cols>
    <col min="1" max="1" width="13.140625" bestFit="1" customWidth="1"/>
    <col min="2" max="2" width="14.7109375" bestFit="1" customWidth="1"/>
    <col min="3" max="3" width="16.42578125" bestFit="1" customWidth="1"/>
  </cols>
  <sheetData>
    <row r="1" spans="1:3" ht="18" thickBot="1" x14ac:dyDescent="0.3">
      <c r="A1" s="37" t="s">
        <v>64</v>
      </c>
      <c r="B1" s="38" t="s">
        <v>65</v>
      </c>
      <c r="C1" s="39" t="s">
        <v>37</v>
      </c>
    </row>
    <row r="2" spans="1:3" ht="17.25" x14ac:dyDescent="0.25">
      <c r="A2" s="34" t="s">
        <v>66</v>
      </c>
      <c r="B2" s="35">
        <v>45292</v>
      </c>
      <c r="C2" s="36">
        <v>12000</v>
      </c>
    </row>
    <row r="3" spans="1:3" ht="17.25" x14ac:dyDescent="0.25">
      <c r="A3" s="10" t="s">
        <v>67</v>
      </c>
      <c r="B3" s="5">
        <v>45294</v>
      </c>
      <c r="C3" s="23">
        <v>25000</v>
      </c>
    </row>
    <row r="4" spans="1:3" ht="17.25" x14ac:dyDescent="0.25">
      <c r="A4" s="10" t="s">
        <v>68</v>
      </c>
      <c r="B4" s="5">
        <v>45296</v>
      </c>
      <c r="C4" s="23">
        <v>8000</v>
      </c>
    </row>
    <row r="5" spans="1:3" ht="17.25" x14ac:dyDescent="0.25">
      <c r="A5" s="10" t="s">
        <v>69</v>
      </c>
      <c r="B5" s="5">
        <v>45299</v>
      </c>
      <c r="C5" s="23">
        <v>32000</v>
      </c>
    </row>
    <row r="6" spans="1:3" ht="17.25" x14ac:dyDescent="0.25">
      <c r="A6" s="10" t="s">
        <v>70</v>
      </c>
      <c r="B6" s="5">
        <v>45301</v>
      </c>
      <c r="C6" s="23">
        <v>15000</v>
      </c>
    </row>
    <row r="7" spans="1:3" ht="17.25" x14ac:dyDescent="0.25">
      <c r="A7" s="10" t="s">
        <v>75</v>
      </c>
      <c r="B7" s="5">
        <v>45292</v>
      </c>
      <c r="C7" s="23">
        <v>22300</v>
      </c>
    </row>
    <row r="8" spans="1:3" ht="17.25" x14ac:dyDescent="0.25">
      <c r="A8" s="10" t="s">
        <v>76</v>
      </c>
      <c r="B8" s="5">
        <v>45294</v>
      </c>
      <c r="C8" s="23">
        <v>23600</v>
      </c>
    </row>
    <row r="9" spans="1:3" ht="17.25" x14ac:dyDescent="0.25">
      <c r="A9" s="10" t="s">
        <v>77</v>
      </c>
      <c r="B9" s="5">
        <v>45296</v>
      </c>
      <c r="C9" s="23">
        <v>24900</v>
      </c>
    </row>
    <row r="10" spans="1:3" ht="17.25" x14ac:dyDescent="0.25">
      <c r="A10" s="10" t="s">
        <v>78</v>
      </c>
      <c r="B10" s="5">
        <v>45299</v>
      </c>
      <c r="C10" s="23">
        <v>26200</v>
      </c>
    </row>
    <row r="11" spans="1:3" ht="17.25" x14ac:dyDescent="0.25">
      <c r="A11" s="10" t="s">
        <v>79</v>
      </c>
      <c r="B11" s="5">
        <v>45301</v>
      </c>
      <c r="C11" s="23">
        <v>27500</v>
      </c>
    </row>
    <row r="12" spans="1:3" ht="17.25" x14ac:dyDescent="0.25">
      <c r="A12" s="10" t="s">
        <v>80</v>
      </c>
      <c r="B12" s="5">
        <v>45292</v>
      </c>
      <c r="C12" s="23">
        <v>28800</v>
      </c>
    </row>
    <row r="13" spans="1:3" ht="17.25" x14ac:dyDescent="0.25">
      <c r="A13" s="10" t="s">
        <v>81</v>
      </c>
      <c r="B13" s="5">
        <v>45294</v>
      </c>
      <c r="C13" s="23">
        <v>30100</v>
      </c>
    </row>
    <row r="14" spans="1:3" ht="17.25" x14ac:dyDescent="0.25">
      <c r="A14" s="10" t="s">
        <v>82</v>
      </c>
      <c r="B14" s="5">
        <v>45296</v>
      </c>
      <c r="C14" s="23">
        <v>31400</v>
      </c>
    </row>
    <row r="15" spans="1:3" ht="17.25" x14ac:dyDescent="0.25">
      <c r="A15" s="10" t="s">
        <v>83</v>
      </c>
      <c r="B15" s="5">
        <v>45299</v>
      </c>
      <c r="C15" s="23">
        <v>32700</v>
      </c>
    </row>
    <row r="16" spans="1:3" ht="17.25" x14ac:dyDescent="0.25">
      <c r="A16" s="10" t="s">
        <v>84</v>
      </c>
      <c r="B16" s="5">
        <v>45301</v>
      </c>
      <c r="C16" s="23">
        <v>34000</v>
      </c>
    </row>
    <row r="17" spans="1:3" ht="17.25" x14ac:dyDescent="0.25">
      <c r="A17" s="10" t="s">
        <v>85</v>
      </c>
      <c r="B17" s="5">
        <v>45292</v>
      </c>
      <c r="C17" s="23">
        <v>35300</v>
      </c>
    </row>
    <row r="18" spans="1:3" ht="17.25" x14ac:dyDescent="0.25">
      <c r="A18" s="10" t="s">
        <v>86</v>
      </c>
      <c r="B18" s="5">
        <v>45294</v>
      </c>
      <c r="C18" s="23">
        <v>36600</v>
      </c>
    </row>
    <row r="19" spans="1:3" ht="17.25" x14ac:dyDescent="0.25">
      <c r="A19" s="10" t="s">
        <v>87</v>
      </c>
      <c r="B19" s="5">
        <v>45296</v>
      </c>
      <c r="C19" s="23">
        <v>37900</v>
      </c>
    </row>
    <row r="20" spans="1:3" ht="17.25" x14ac:dyDescent="0.25">
      <c r="A20" s="10" t="s">
        <v>88</v>
      </c>
      <c r="B20" s="5">
        <v>45299</v>
      </c>
      <c r="C20" s="23">
        <v>39200</v>
      </c>
    </row>
    <row r="21" spans="1:3" ht="18" thickBot="1" x14ac:dyDescent="0.3">
      <c r="A21" s="40" t="s">
        <v>89</v>
      </c>
      <c r="B21" s="41">
        <v>45301</v>
      </c>
      <c r="C21" s="42">
        <v>40500</v>
      </c>
    </row>
    <row r="22" spans="1:3" x14ac:dyDescent="0.25">
      <c r="A22" s="43" t="s">
        <v>63</v>
      </c>
      <c r="B22" s="44"/>
      <c r="C22" s="49">
        <f>SUM(C2:C21)</f>
        <v>563000</v>
      </c>
    </row>
    <row r="23" spans="1:3" x14ac:dyDescent="0.25">
      <c r="A23" s="45" t="s">
        <v>90</v>
      </c>
      <c r="B23" s="46"/>
      <c r="C23" s="50">
        <f>AVERAGE(C2:C21)</f>
        <v>28150</v>
      </c>
    </row>
    <row r="24" spans="1:3" x14ac:dyDescent="0.25">
      <c r="A24" s="45" t="s">
        <v>91</v>
      </c>
      <c r="B24" s="46"/>
      <c r="C24" s="51">
        <f>(MAX(C2:C21))</f>
        <v>40500</v>
      </c>
    </row>
    <row r="25" spans="1:3" ht="15.75" thickBot="1" x14ac:dyDescent="0.3">
      <c r="A25" s="47" t="s">
        <v>92</v>
      </c>
      <c r="B25" s="48"/>
      <c r="C25" s="52">
        <f>MIN(C2:C21)</f>
        <v>8000</v>
      </c>
    </row>
    <row r="26" spans="1:3" x14ac:dyDescent="0.25">
      <c r="A26" s="33"/>
      <c r="B26" s="33"/>
    </row>
  </sheetData>
  <mergeCells count="5">
    <mergeCell ref="A22:B22"/>
    <mergeCell ref="A23:B23"/>
    <mergeCell ref="A25:B25"/>
    <mergeCell ref="A26:B26"/>
    <mergeCell ref="A24:B24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DC00-713E-42EE-8862-E970016B23E2}">
  <dimension ref="A1:I23"/>
  <sheetViews>
    <sheetView workbookViewId="0">
      <selection activeCell="E7" sqref="E7"/>
    </sheetView>
  </sheetViews>
  <sheetFormatPr defaultRowHeight="15" x14ac:dyDescent="0.25"/>
  <cols>
    <col min="1" max="1" width="12.140625" bestFit="1" customWidth="1"/>
    <col min="2" max="2" width="14.7109375" bestFit="1" customWidth="1"/>
    <col min="3" max="3" width="9" bestFit="1" customWidth="1"/>
    <col min="6" max="8" width="14.28515625" bestFit="1" customWidth="1"/>
    <col min="9" max="9" width="7.5703125" bestFit="1" customWidth="1"/>
  </cols>
  <sheetData>
    <row r="1" spans="1:9" ht="35.25" thickBot="1" x14ac:dyDescent="0.3">
      <c r="A1" s="53" t="s">
        <v>93</v>
      </c>
      <c r="B1" s="53" t="s">
        <v>2</v>
      </c>
      <c r="C1" s="53" t="s">
        <v>3</v>
      </c>
      <c r="F1" s="57" t="s">
        <v>2</v>
      </c>
      <c r="G1" s="57" t="s">
        <v>100</v>
      </c>
      <c r="H1" s="58" t="s">
        <v>101</v>
      </c>
      <c r="I1" s="57" t="s">
        <v>102</v>
      </c>
    </row>
    <row r="2" spans="1:9" ht="18" thickBot="1" x14ac:dyDescent="0.3">
      <c r="A2" s="2" t="s">
        <v>94</v>
      </c>
      <c r="B2" s="2" t="s">
        <v>7</v>
      </c>
      <c r="C2" s="2">
        <v>28000</v>
      </c>
      <c r="F2" s="54" t="s">
        <v>7</v>
      </c>
      <c r="G2" s="55">
        <f>SUMIF(B2:B21,"HR",C2:C21)</f>
        <v>247923.8095238095</v>
      </c>
      <c r="H2" s="56">
        <f>AVERAGEIF(B2:B21,"HR",C2:C21)</f>
        <v>35417.687074829926</v>
      </c>
      <c r="I2" s="54">
        <f>COUNTIF(B2:B21,"HR")</f>
        <v>7</v>
      </c>
    </row>
    <row r="3" spans="1:9" ht="18" thickBot="1" x14ac:dyDescent="0.3">
      <c r="A3" s="2" t="s">
        <v>95</v>
      </c>
      <c r="B3" s="2" t="s">
        <v>10</v>
      </c>
      <c r="C3" s="2">
        <v>45000</v>
      </c>
      <c r="F3" s="54" t="s">
        <v>10</v>
      </c>
      <c r="G3" s="55">
        <f>SUMIF(B3:B22,"IT",C3:C22)</f>
        <v>285009.5238095239</v>
      </c>
      <c r="H3" s="56">
        <f>AVERAGEIF(B3:B22,"IT",C3:C22)</f>
        <v>40715.646258503417</v>
      </c>
      <c r="I3" s="54">
        <f>COUNTIF(B3:B22,"IT")</f>
        <v>7</v>
      </c>
    </row>
    <row r="4" spans="1:9" ht="18" thickBot="1" x14ac:dyDescent="0.3">
      <c r="A4" s="2" t="s">
        <v>96</v>
      </c>
      <c r="B4" s="2" t="s">
        <v>10</v>
      </c>
      <c r="C4" s="2">
        <v>50000</v>
      </c>
      <c r="F4" s="54" t="s">
        <v>13</v>
      </c>
      <c r="G4" s="55">
        <f>SUMIF(B4:B23,"FINANCE",C4:C23)</f>
        <v>231733.33333333337</v>
      </c>
      <c r="H4" s="56">
        <f>AVERAGEIF(B4:B23,"FINANCE",C4:C23)</f>
        <v>38622.222222222226</v>
      </c>
      <c r="I4" s="54">
        <f>COUNTIF(B4:B23,"FINANCE")</f>
        <v>6</v>
      </c>
    </row>
    <row r="5" spans="1:9" ht="18" thickBot="1" x14ac:dyDescent="0.3">
      <c r="A5" s="2" t="s">
        <v>97</v>
      </c>
      <c r="B5" s="2" t="s">
        <v>13</v>
      </c>
      <c r="C5" s="2">
        <v>42000</v>
      </c>
    </row>
    <row r="6" spans="1:9" ht="18" thickBot="1" x14ac:dyDescent="0.3">
      <c r="A6" s="2" t="s">
        <v>98</v>
      </c>
      <c r="B6" s="2" t="s">
        <v>7</v>
      </c>
      <c r="C6" s="2">
        <v>30000</v>
      </c>
    </row>
    <row r="7" spans="1:9" ht="18" thickBot="1" x14ac:dyDescent="0.3">
      <c r="A7" s="2" t="s">
        <v>99</v>
      </c>
      <c r="B7" s="2" t="s">
        <v>13</v>
      </c>
      <c r="C7" s="2">
        <v>38000</v>
      </c>
    </row>
    <row r="8" spans="1:9" ht="18" thickBot="1" x14ac:dyDescent="0.3">
      <c r="A8" s="2" t="s">
        <v>94</v>
      </c>
      <c r="B8" s="2" t="s">
        <v>7</v>
      </c>
      <c r="C8" s="2">
        <v>38533.333333333299</v>
      </c>
    </row>
    <row r="9" spans="1:9" ht="18" thickBot="1" x14ac:dyDescent="0.3">
      <c r="A9" s="2" t="s">
        <v>95</v>
      </c>
      <c r="B9" s="2" t="s">
        <v>10</v>
      </c>
      <c r="C9" s="2">
        <v>38447.619047619097</v>
      </c>
    </row>
    <row r="10" spans="1:9" ht="18" thickBot="1" x14ac:dyDescent="0.3">
      <c r="A10" s="2" t="s">
        <v>96</v>
      </c>
      <c r="B10" s="2" t="s">
        <v>10</v>
      </c>
      <c r="C10" s="2">
        <v>38361.9047619048</v>
      </c>
    </row>
    <row r="11" spans="1:9" ht="18" thickBot="1" x14ac:dyDescent="0.3">
      <c r="A11" s="2" t="s">
        <v>97</v>
      </c>
      <c r="B11" s="2" t="s">
        <v>13</v>
      </c>
      <c r="C11" s="2">
        <v>38276.190476190503</v>
      </c>
    </row>
    <row r="12" spans="1:9" ht="18" thickBot="1" x14ac:dyDescent="0.3">
      <c r="A12" s="2" t="s">
        <v>98</v>
      </c>
      <c r="B12" s="2" t="s">
        <v>7</v>
      </c>
      <c r="C12" s="2">
        <v>38190.476190476198</v>
      </c>
    </row>
    <row r="13" spans="1:9" ht="18" thickBot="1" x14ac:dyDescent="0.3">
      <c r="A13" s="2" t="s">
        <v>99</v>
      </c>
      <c r="B13" s="2" t="s">
        <v>13</v>
      </c>
      <c r="C13" s="2">
        <v>38104.761904761901</v>
      </c>
    </row>
    <row r="14" spans="1:9" ht="18" thickBot="1" x14ac:dyDescent="0.3">
      <c r="A14" s="2" t="s">
        <v>94</v>
      </c>
      <c r="B14" s="2" t="s">
        <v>7</v>
      </c>
      <c r="C14" s="2">
        <v>38019.047619047597</v>
      </c>
    </row>
    <row r="15" spans="1:9" ht="18" thickBot="1" x14ac:dyDescent="0.3">
      <c r="A15" s="2" t="s">
        <v>95</v>
      </c>
      <c r="B15" s="2" t="s">
        <v>10</v>
      </c>
      <c r="C15" s="2">
        <v>37933.333333333299</v>
      </c>
    </row>
    <row r="16" spans="1:9" ht="18" thickBot="1" x14ac:dyDescent="0.3">
      <c r="A16" s="2" t="s">
        <v>96</v>
      </c>
      <c r="B16" s="2" t="s">
        <v>10</v>
      </c>
      <c r="C16" s="2">
        <v>37847.619047619097</v>
      </c>
    </row>
    <row r="17" spans="1:3" ht="18" thickBot="1" x14ac:dyDescent="0.3">
      <c r="A17" s="2" t="s">
        <v>97</v>
      </c>
      <c r="B17" s="2" t="s">
        <v>13</v>
      </c>
      <c r="C17" s="2">
        <v>37761.9047619048</v>
      </c>
    </row>
    <row r="18" spans="1:3" ht="18" thickBot="1" x14ac:dyDescent="0.3">
      <c r="A18" s="2" t="s">
        <v>98</v>
      </c>
      <c r="B18" s="2" t="s">
        <v>7</v>
      </c>
      <c r="C18" s="2">
        <v>37676.190476190503</v>
      </c>
    </row>
    <row r="19" spans="1:3" ht="18" thickBot="1" x14ac:dyDescent="0.3">
      <c r="A19" s="2" t="s">
        <v>99</v>
      </c>
      <c r="B19" s="2" t="s">
        <v>13</v>
      </c>
      <c r="C19" s="2">
        <v>37590.476190476198</v>
      </c>
    </row>
    <row r="20" spans="1:3" ht="18" thickBot="1" x14ac:dyDescent="0.3">
      <c r="A20" s="2" t="s">
        <v>94</v>
      </c>
      <c r="B20" s="2" t="s">
        <v>7</v>
      </c>
      <c r="C20" s="2">
        <v>37504.761904761901</v>
      </c>
    </row>
    <row r="21" spans="1:3" ht="18" thickBot="1" x14ac:dyDescent="0.3">
      <c r="A21" s="2" t="s">
        <v>95</v>
      </c>
      <c r="B21" s="2" t="s">
        <v>10</v>
      </c>
      <c r="C21" s="2">
        <v>37419.047619047597</v>
      </c>
    </row>
    <row r="23" spans="1:3" ht="17.25" x14ac:dyDescent="0.25">
      <c r="A23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BAD-67EB-415F-9899-15844F0303E0}">
  <dimension ref="A1:U8"/>
  <sheetViews>
    <sheetView workbookViewId="0">
      <selection activeCell="F16" sqref="F16"/>
    </sheetView>
  </sheetViews>
  <sheetFormatPr defaultRowHeight="15" x14ac:dyDescent="0.25"/>
  <cols>
    <col min="1" max="1" width="17.5703125" bestFit="1" customWidth="1"/>
    <col min="2" max="6" width="7.7109375" bestFit="1" customWidth="1"/>
  </cols>
  <sheetData>
    <row r="1" spans="1:21" ht="18" thickBot="1" x14ac:dyDescent="0.3">
      <c r="A1" s="53" t="s">
        <v>53</v>
      </c>
      <c r="B1" s="53" t="s">
        <v>103</v>
      </c>
      <c r="C1" s="53" t="s">
        <v>104</v>
      </c>
      <c r="D1" s="53" t="s">
        <v>105</v>
      </c>
      <c r="E1" s="53" t="s">
        <v>106</v>
      </c>
      <c r="F1" s="53" t="s">
        <v>107</v>
      </c>
      <c r="G1" s="53" t="s">
        <v>112</v>
      </c>
      <c r="H1" s="53" t="s">
        <v>113</v>
      </c>
      <c r="I1" s="53" t="s">
        <v>114</v>
      </c>
      <c r="J1" s="53" t="s">
        <v>115</v>
      </c>
      <c r="K1" s="53" t="s">
        <v>116</v>
      </c>
      <c r="L1" s="53" t="s">
        <v>117</v>
      </c>
      <c r="M1" s="53" t="s">
        <v>118</v>
      </c>
      <c r="N1" s="53" t="s">
        <v>119</v>
      </c>
      <c r="O1" s="53" t="s">
        <v>120</v>
      </c>
      <c r="P1" s="53" t="s">
        <v>121</v>
      </c>
      <c r="Q1" s="53" t="s">
        <v>122</v>
      </c>
      <c r="R1" s="53" t="s">
        <v>123</v>
      </c>
      <c r="S1" s="53" t="s">
        <v>124</v>
      </c>
      <c r="T1" s="53" t="s">
        <v>125</v>
      </c>
      <c r="U1" s="53" t="s">
        <v>126</v>
      </c>
    </row>
    <row r="2" spans="1:21" ht="18" thickBot="1" x14ac:dyDescent="0.3">
      <c r="A2" s="2" t="s">
        <v>58</v>
      </c>
      <c r="B2" s="2" t="s">
        <v>108</v>
      </c>
      <c r="C2" s="2" t="s">
        <v>109</v>
      </c>
      <c r="D2" s="2" t="s">
        <v>108</v>
      </c>
      <c r="E2" s="2" t="s">
        <v>108</v>
      </c>
      <c r="F2" s="2" t="s">
        <v>108</v>
      </c>
      <c r="G2" s="2" t="s">
        <v>108</v>
      </c>
      <c r="H2" s="2" t="s">
        <v>109</v>
      </c>
      <c r="I2" s="2" t="s">
        <v>108</v>
      </c>
      <c r="J2" s="2" t="s">
        <v>108</v>
      </c>
      <c r="K2" s="2" t="s">
        <v>108</v>
      </c>
      <c r="L2" s="2" t="s">
        <v>108</v>
      </c>
      <c r="M2" s="2" t="s">
        <v>109</v>
      </c>
      <c r="N2" s="2" t="s">
        <v>108</v>
      </c>
      <c r="O2" s="2" t="s">
        <v>108</v>
      </c>
      <c r="P2" s="2" t="s">
        <v>108</v>
      </c>
      <c r="Q2" s="2" t="s">
        <v>108</v>
      </c>
      <c r="R2" s="2" t="s">
        <v>109</v>
      </c>
      <c r="S2" s="2" t="s">
        <v>108</v>
      </c>
      <c r="T2" s="2" t="s">
        <v>108</v>
      </c>
      <c r="U2" s="2" t="s">
        <v>108</v>
      </c>
    </row>
    <row r="3" spans="1:21" ht="18" thickBot="1" x14ac:dyDescent="0.3">
      <c r="A3" s="2" t="s">
        <v>59</v>
      </c>
      <c r="B3" s="2" t="s">
        <v>108</v>
      </c>
      <c r="C3" s="2" t="s">
        <v>108</v>
      </c>
      <c r="D3" s="2" t="s">
        <v>108</v>
      </c>
      <c r="E3" s="2" t="s">
        <v>109</v>
      </c>
      <c r="F3" s="2" t="s">
        <v>108</v>
      </c>
      <c r="G3" s="2" t="s">
        <v>108</v>
      </c>
      <c r="H3" s="2" t="s">
        <v>108</v>
      </c>
      <c r="I3" s="2" t="s">
        <v>108</v>
      </c>
      <c r="J3" s="2" t="s">
        <v>109</v>
      </c>
      <c r="K3" s="2" t="s">
        <v>108</v>
      </c>
      <c r="L3" s="2" t="s">
        <v>108</v>
      </c>
      <c r="M3" s="2" t="s">
        <v>108</v>
      </c>
      <c r="N3" s="2" t="s">
        <v>108</v>
      </c>
      <c r="O3" s="2" t="s">
        <v>109</v>
      </c>
      <c r="P3" s="2" t="s">
        <v>108</v>
      </c>
      <c r="Q3" s="2" t="s">
        <v>108</v>
      </c>
      <c r="R3" s="2" t="s">
        <v>108</v>
      </c>
      <c r="S3" s="2" t="s">
        <v>108</v>
      </c>
      <c r="T3" s="2" t="s">
        <v>109</v>
      </c>
      <c r="U3" s="2" t="s">
        <v>108</v>
      </c>
    </row>
    <row r="4" spans="1:21" ht="18" thickBot="1" x14ac:dyDescent="0.3">
      <c r="A4" s="2" t="s">
        <v>60</v>
      </c>
      <c r="B4" s="2" t="s">
        <v>109</v>
      </c>
      <c r="C4" s="2" t="s">
        <v>108</v>
      </c>
      <c r="D4" s="2" t="s">
        <v>108</v>
      </c>
      <c r="E4" s="2" t="s">
        <v>108</v>
      </c>
      <c r="F4" s="2" t="s">
        <v>108</v>
      </c>
      <c r="G4" s="2" t="s">
        <v>109</v>
      </c>
      <c r="H4" s="2" t="s">
        <v>108</v>
      </c>
      <c r="I4" s="2" t="s">
        <v>108</v>
      </c>
      <c r="J4" s="2" t="s">
        <v>108</v>
      </c>
      <c r="K4" s="2" t="s">
        <v>108</v>
      </c>
      <c r="L4" s="2" t="s">
        <v>109</v>
      </c>
      <c r="M4" s="2" t="s">
        <v>108</v>
      </c>
      <c r="N4" s="2" t="s">
        <v>108</v>
      </c>
      <c r="O4" s="2" t="s">
        <v>108</v>
      </c>
      <c r="P4" s="2" t="s">
        <v>108</v>
      </c>
      <c r="Q4" s="2" t="s">
        <v>109</v>
      </c>
      <c r="R4" s="2" t="s">
        <v>108</v>
      </c>
      <c r="S4" s="2" t="s">
        <v>108</v>
      </c>
      <c r="T4" s="2" t="s">
        <v>108</v>
      </c>
      <c r="U4" s="2" t="s">
        <v>108</v>
      </c>
    </row>
    <row r="5" spans="1:21" ht="18" thickBot="1" x14ac:dyDescent="0.3">
      <c r="A5" s="2" t="s">
        <v>61</v>
      </c>
      <c r="B5" s="2" t="s">
        <v>108</v>
      </c>
      <c r="C5" s="2" t="s">
        <v>109</v>
      </c>
      <c r="D5" s="2" t="s">
        <v>109</v>
      </c>
      <c r="E5" s="2" t="s">
        <v>108</v>
      </c>
      <c r="F5" s="2" t="s">
        <v>109</v>
      </c>
      <c r="G5" s="2" t="s">
        <v>108</v>
      </c>
      <c r="H5" s="2" t="s">
        <v>109</v>
      </c>
      <c r="I5" s="2" t="s">
        <v>109</v>
      </c>
      <c r="J5" s="2" t="s">
        <v>108</v>
      </c>
      <c r="K5" s="2" t="s">
        <v>109</v>
      </c>
      <c r="L5" s="2" t="s">
        <v>108</v>
      </c>
      <c r="M5" s="2" t="s">
        <v>109</v>
      </c>
      <c r="N5" s="2" t="s">
        <v>109</v>
      </c>
      <c r="O5" s="2" t="s">
        <v>108</v>
      </c>
      <c r="P5" s="2" t="s">
        <v>109</v>
      </c>
      <c r="Q5" s="2" t="s">
        <v>108</v>
      </c>
      <c r="R5" s="2" t="s">
        <v>109</v>
      </c>
      <c r="S5" s="2" t="s">
        <v>109</v>
      </c>
      <c r="T5" s="2" t="s">
        <v>108</v>
      </c>
      <c r="U5" s="2" t="s">
        <v>109</v>
      </c>
    </row>
    <row r="7" spans="1:21" ht="17.25" x14ac:dyDescent="0.25">
      <c r="A7" s="59" t="s">
        <v>110</v>
      </c>
      <c r="B7" s="60">
        <f>COUNTIF(B2:U5,"P")</f>
        <v>56</v>
      </c>
    </row>
    <row r="8" spans="1:21" ht="17.25" x14ac:dyDescent="0.25">
      <c r="A8" s="59" t="s">
        <v>111</v>
      </c>
      <c r="B8" s="60">
        <f>COUNTIF(B2:U5,"A")</f>
        <v>24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FEBE-F076-49EB-ADB1-F9B099FDA2BD}">
  <dimension ref="A1:C21"/>
  <sheetViews>
    <sheetView tabSelected="1" workbookViewId="0">
      <selection activeCell="D2" sqref="D2"/>
    </sheetView>
  </sheetViews>
  <sheetFormatPr defaultRowHeight="15" x14ac:dyDescent="0.25"/>
  <cols>
    <col min="1" max="1" width="11" bestFit="1" customWidth="1"/>
    <col min="2" max="2" width="16.85546875" bestFit="1" customWidth="1"/>
    <col min="3" max="3" width="28.140625" bestFit="1" customWidth="1"/>
  </cols>
  <sheetData>
    <row r="1" spans="1:3" ht="18" thickBot="1" x14ac:dyDescent="0.3">
      <c r="A1" s="1" t="s">
        <v>127</v>
      </c>
      <c r="B1" s="1" t="s">
        <v>37</v>
      </c>
    </row>
    <row r="2" spans="1:3" ht="18" thickBot="1" x14ac:dyDescent="0.3">
      <c r="A2" s="2" t="s">
        <v>128</v>
      </c>
      <c r="B2" s="2">
        <v>4500</v>
      </c>
      <c r="C2" s="61" t="s">
        <v>134</v>
      </c>
    </row>
    <row r="3" spans="1:3" ht="18" thickBot="1" x14ac:dyDescent="0.3">
      <c r="A3" s="2" t="s">
        <v>129</v>
      </c>
      <c r="B3" s="2">
        <v>12000</v>
      </c>
      <c r="C3" s="61" t="s">
        <v>135</v>
      </c>
    </row>
    <row r="4" spans="1:3" ht="18" thickBot="1" x14ac:dyDescent="0.3">
      <c r="A4" s="2" t="s">
        <v>130</v>
      </c>
      <c r="B4" s="2">
        <v>8000</v>
      </c>
    </row>
    <row r="5" spans="1:3" ht="18" thickBot="1" x14ac:dyDescent="0.3">
      <c r="A5" s="2" t="s">
        <v>131</v>
      </c>
      <c r="B5" s="2">
        <v>25000</v>
      </c>
    </row>
    <row r="6" spans="1:3" ht="18" thickBot="1" x14ac:dyDescent="0.3">
      <c r="A6" s="2" t="s">
        <v>132</v>
      </c>
      <c r="B6" s="2">
        <v>3000</v>
      </c>
    </row>
    <row r="7" spans="1:3" ht="18" thickBot="1" x14ac:dyDescent="0.3">
      <c r="A7" s="2" t="s">
        <v>133</v>
      </c>
      <c r="B7" s="2">
        <v>15000</v>
      </c>
    </row>
    <row r="8" spans="1:3" ht="18" thickBot="1" x14ac:dyDescent="0.3">
      <c r="A8" s="2" t="s">
        <v>128</v>
      </c>
      <c r="B8" s="2">
        <v>4500</v>
      </c>
    </row>
    <row r="9" spans="1:3" ht="18" thickBot="1" x14ac:dyDescent="0.3">
      <c r="A9" s="2" t="s">
        <v>129</v>
      </c>
      <c r="B9" s="2">
        <v>12000</v>
      </c>
    </row>
    <row r="10" spans="1:3" ht="18" thickBot="1" x14ac:dyDescent="0.3">
      <c r="A10" s="2" t="s">
        <v>130</v>
      </c>
      <c r="B10" s="2">
        <v>8000</v>
      </c>
    </row>
    <row r="11" spans="1:3" ht="18" thickBot="1" x14ac:dyDescent="0.3">
      <c r="A11" s="2" t="s">
        <v>131</v>
      </c>
      <c r="B11" s="2">
        <v>25000</v>
      </c>
    </row>
    <row r="12" spans="1:3" ht="18" thickBot="1" x14ac:dyDescent="0.3">
      <c r="A12" s="2" t="s">
        <v>132</v>
      </c>
      <c r="B12" s="2">
        <v>3000</v>
      </c>
    </row>
    <row r="13" spans="1:3" ht="18" thickBot="1" x14ac:dyDescent="0.3">
      <c r="A13" s="2" t="s">
        <v>133</v>
      </c>
      <c r="B13" s="2">
        <v>15000</v>
      </c>
    </row>
    <row r="14" spans="1:3" ht="18" thickBot="1" x14ac:dyDescent="0.3">
      <c r="A14" s="2" t="s">
        <v>128</v>
      </c>
      <c r="B14" s="2">
        <v>4500</v>
      </c>
    </row>
    <row r="15" spans="1:3" ht="18" thickBot="1" x14ac:dyDescent="0.3">
      <c r="A15" s="2" t="s">
        <v>129</v>
      </c>
      <c r="B15" s="2">
        <v>12000</v>
      </c>
    </row>
    <row r="16" spans="1:3" ht="18" thickBot="1" x14ac:dyDescent="0.3">
      <c r="A16" s="2" t="s">
        <v>130</v>
      </c>
      <c r="B16" s="2">
        <v>8000</v>
      </c>
    </row>
    <row r="17" spans="1:2" ht="18" thickBot="1" x14ac:dyDescent="0.3">
      <c r="A17" s="2" t="s">
        <v>131</v>
      </c>
      <c r="B17" s="2">
        <v>25000</v>
      </c>
    </row>
    <row r="18" spans="1:2" ht="18" thickBot="1" x14ac:dyDescent="0.3">
      <c r="A18" s="2" t="s">
        <v>132</v>
      </c>
      <c r="B18" s="2">
        <v>3000</v>
      </c>
    </row>
    <row r="19" spans="1:2" ht="18" thickBot="1" x14ac:dyDescent="0.3">
      <c r="A19" s="2" t="s">
        <v>133</v>
      </c>
      <c r="B19" s="2">
        <v>15000</v>
      </c>
    </row>
    <row r="20" spans="1:2" ht="18" thickBot="1" x14ac:dyDescent="0.3">
      <c r="A20" s="2" t="s">
        <v>128</v>
      </c>
      <c r="B20" s="2">
        <v>4500</v>
      </c>
    </row>
    <row r="21" spans="1:2" ht="18" thickBot="1" x14ac:dyDescent="0.3">
      <c r="A21" s="2" t="s">
        <v>129</v>
      </c>
      <c r="B21" s="2">
        <v>12000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ASDC23</dc:creator>
  <cp:lastModifiedBy>ASDC23</cp:lastModifiedBy>
  <dcterms:created xsi:type="dcterms:W3CDTF">2026-07-04T08:24:00Z</dcterms:created>
  <dcterms:modified xsi:type="dcterms:W3CDTF">2026-07-04T09:53:13Z</dcterms:modified>
</cp:coreProperties>
</file>