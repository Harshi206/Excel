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23\Desktop\Harshi DA-18\"/>
    </mc:Choice>
  </mc:AlternateContent>
  <xr:revisionPtr revIDLastSave="0" documentId="13_ncr:1_{99119CFE-2629-46B7-A418-92B6B7C491AA}" xr6:coauthVersionLast="47" xr6:coauthVersionMax="47" xr10:uidLastSave="{00000000-0000-0000-0000-000000000000}"/>
  <bookViews>
    <workbookView xWindow="-120" yWindow="-120" windowWidth="20730" windowHeight="11040" firstSheet="12" activeTab="21" xr2:uid="{AA6FCADC-ED22-406D-976B-8A676CB1277A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2" i="21"/>
  <c r="C3" i="20"/>
  <c r="C4" i="20"/>
  <c r="C5" i="20"/>
  <c r="C2" i="20"/>
  <c r="C3" i="19"/>
  <c r="C4" i="19"/>
  <c r="C5" i="19"/>
  <c r="C2" i="19"/>
  <c r="D3" i="18"/>
  <c r="D4" i="18"/>
  <c r="D5" i="18"/>
  <c r="D2" i="18"/>
  <c r="D3" i="17"/>
  <c r="D4" i="17"/>
  <c r="D5" i="17"/>
  <c r="D2" i="17"/>
  <c r="D3" i="16"/>
  <c r="D4" i="16"/>
  <c r="D5" i="16"/>
  <c r="D2" i="16"/>
  <c r="D3" i="15"/>
  <c r="D4" i="15"/>
  <c r="D5" i="15"/>
  <c r="D2" i="15"/>
  <c r="C3" i="14"/>
  <c r="C4" i="14"/>
  <c r="C5" i="14"/>
  <c r="C6" i="14"/>
  <c r="C2" i="14"/>
  <c r="C2" i="13" a="1"/>
  <c r="C2" i="13" s="1"/>
  <c r="D2" i="12" a="1"/>
  <c r="D2" i="12" s="1"/>
  <c r="D3" i="11"/>
  <c r="D4" i="11"/>
  <c r="D5" i="11"/>
  <c r="D6" i="11"/>
  <c r="D2" i="11"/>
  <c r="G3" i="9"/>
  <c r="G2" i="9"/>
  <c r="G3" i="8"/>
  <c r="G2" i="8"/>
  <c r="D3" i="7"/>
  <c r="D2" i="7"/>
  <c r="B7" i="6"/>
  <c r="B8" i="6"/>
  <c r="H3" i="5"/>
  <c r="I4" i="5"/>
  <c r="H4" i="5"/>
  <c r="G4" i="5"/>
  <c r="I3" i="5"/>
  <c r="G3" i="5"/>
  <c r="I2" i="5"/>
  <c r="H2" i="5"/>
  <c r="G2" i="5"/>
  <c r="C25" i="4"/>
  <c r="C24" i="4"/>
  <c r="C23" i="4"/>
  <c r="C2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G2" i="3"/>
  <c r="F2" i="3"/>
  <c r="F3" i="3"/>
  <c r="F4" i="3"/>
  <c r="F5" i="3"/>
  <c r="F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<sst xmlns="http://schemas.openxmlformats.org/spreadsheetml/2006/main" count="530" uniqueCount="192">
  <si>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</si>
  <si>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</si>
  <si>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</si>
  <si>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</si>
  <si>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</si>
  <si>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</si>
  <si>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</si>
  <si>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</si>
  <si>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</si>
  <si>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</si>
  <si>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</si>
  <si>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</si>
  <si>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</si>
  <si>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</si>
  <si>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</si>
  <si>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</si>
  <si>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</si>
  <si>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</si>
  <si>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</si>
  <si>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</si>
  <si>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</si>
  <si>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</si>
  <si>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</si>
  <si>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</si>
  <si>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</si>
  <si>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</si>
  <si>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</si>
  <si>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</si>
  <si>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</si>
  <si>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</si>
  <si>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</si>
  <si>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</si>
  <si>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</si>
  <si>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</si>
  <si>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Ankita Patel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</si>
  <si>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</si>
  <si>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</si>
  <si>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</si>
  <si>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</si>
  <si>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</si>
  <si>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</si>
  <si>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</si>
  <si>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</si>
  <si>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</si>
  <si>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</si>
  <si>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</si>
  <si>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</si>
  <si>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</si>
  <si>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</si>
  <si>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</si>
  <si>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</si>
  <si>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</si>
  <si>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</si>
  <si>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</si>
  <si>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</si>
  <si>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</si>
  <si>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</si>
  <si>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</si>
  <si>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</si>
  <si>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</si>
  <si>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</si>
  <si>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</si>
  <si>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</si>
  <si>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Total</t>
  </si>
  <si>
    <t>Invoice No</t>
  </si>
  <si>
    <t>Date</t>
  </si>
  <si>
    <t>INV001</t>
  </si>
  <si>
    <t>INV002</t>
  </si>
  <si>
    <t>INV003</t>
  </si>
  <si>
    <t>INV004</t>
  </si>
  <si>
    <t>INV005</t>
  </si>
  <si>
    <t>Laptop Dell Inspiron 16</t>
  </si>
  <si>
    <t>Laptop Dell Inspiron 17</t>
  </si>
  <si>
    <t>Laptop Dell Inspiron 18</t>
  </si>
  <si>
    <t>Laptop Dell Inspiron 19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</si>
  <si>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</si>
  <si>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</si>
  <si>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</si>
  <si>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</si>
  <si>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</si>
  <si>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</si>
  <si>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</si>
  <si>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</si>
  <si>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</si>
  <si>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</si>
  <si>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</si>
  <si>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</si>
  <si>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</si>
  <si>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</si>
  <si>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</si>
  <si>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Avg. Sales</t>
  </si>
  <si>
    <t>Highest Sales</t>
  </si>
  <si>
    <t>Lowest Sales</t>
  </si>
  <si>
    <t>Employee Name</t>
  </si>
  <si>
    <t>Suresh</t>
  </si>
  <si>
    <t>Meena</t>
  </si>
  <si>
    <t>Karan</t>
  </si>
  <si>
    <t>Ritu</t>
  </si>
  <si>
    <t>Aman</t>
  </si>
  <si>
    <t>Neel</t>
  </si>
  <si>
    <t>Total Salary</t>
  </si>
  <si>
    <t>Average Salary</t>
  </si>
  <si>
    <t>Count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</si>
  <si>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</si>
  <si>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</si>
  <si>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</si>
  <si>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</si>
  <si>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</si>
  <si>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</si>
  <si>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</si>
  <si>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</si>
  <si>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</si>
  <si>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</si>
  <si>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</si>
  <si>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</si>
  <si>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</si>
  <si>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</si>
  <si>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</si>
  <si>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</si>
  <si>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</si>
  <si>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</si>
  <si>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</si>
  <si>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</si>
  <si>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</si>
  <si>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</si>
  <si>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</si>
  <si>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</si>
  <si>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Order ID</t>
  </si>
  <si>
    <t>O101</t>
  </si>
  <si>
    <t>O102</t>
  </si>
  <si>
    <t>O103</t>
  </si>
  <si>
    <t>O104</t>
  </si>
  <si>
    <t>O105</t>
  </si>
  <si>
    <t>O106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</si>
  <si>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</si>
  <si>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</si>
  <si>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</si>
  <si>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</si>
  <si>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</si>
  <si>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</si>
  <si>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</si>
  <si>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</si>
  <si>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Highlight sales &gt; 20000 (Green)</t>
  </si>
  <si>
    <t>Highlight sales &lt; 5000 (Red)</t>
  </si>
  <si>
    <t>Marks</t>
  </si>
  <si>
    <t>Bharti</t>
  </si>
  <si>
    <t>Chetan</t>
  </si>
  <si>
    <t>Deepa</t>
  </si>
  <si>
    <t>Farhan</t>
  </si>
  <si>
    <t>Marks ≥ 75 → Green</t>
  </si>
  <si>
    <t>Marks &lt; 40 → Red</t>
  </si>
  <si>
    <t>Rohit</t>
  </si>
  <si>
    <t>Simran</t>
  </si>
  <si>
    <t>Vijay</t>
  </si>
  <si>
    <t>Nisha</t>
  </si>
  <si>
    <t>Mohan</t>
  </si>
  <si>
    <t>≥ 50000 → Dark Green</t>
  </si>
  <si>
    <t>30000–49999 → Yellow</t>
  </si>
  <si>
    <t>&lt; 30000 → Light Red</t>
  </si>
  <si>
    <t>Faculty Name</t>
  </si>
  <si>
    <t>Class Conducted</t>
  </si>
  <si>
    <t>Attendance</t>
  </si>
  <si>
    <t>Performance</t>
  </si>
  <si>
    <t>Rajesh</t>
  </si>
  <si>
    <t>Sunita</t>
  </si>
  <si>
    <t>Manoj</t>
  </si>
  <si>
    <t>Anil</t>
  </si>
  <si>
    <t>Result</t>
  </si>
  <si>
    <t>Rohan</t>
  </si>
  <si>
    <t>Bonus Status</t>
  </si>
  <si>
    <t>Grade</t>
  </si>
  <si>
    <t>Age</t>
  </si>
  <si>
    <t>Experience (Years)</t>
  </si>
  <si>
    <t>Eligible</t>
  </si>
  <si>
    <t>Attendance %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</si>
  <si>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</si>
  <si>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</si>
  <si>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</si>
  <si>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</si>
  <si>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</si>
  <si>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</si>
  <si>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</si>
  <si>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Bhavna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</si>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</sst>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[$₹-4009]\ * #,##0.00_ ;_ [$₹-4009]\ * \-#,##0.00_ ;_ [$₹-4009]\ * &quot;-&quot;??_ ;_ @_ "/>
    <numFmt numFmtId="165" formatCode="_ * #,##0_ ;_ * \-#,##0_ ;_ * &quot;-&quot;??_ ;_ @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Segoe UI"/>
      <family val="2"/>
    </font>
    <font>
      <sz val="12"/>
      <name val="Segoe UI"/>
      <family val="2"/>
    </font>
    <font>
      <sz val="8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Segoe UI"/>
      <family val="2"/>
    </font>
    <font>
      <sz val="11"/>
      <name val="Segoe UI"/>
      <family val="2"/>
    </font>
    <font>
      <b/>
      <sz val="11"/>
      <name val="Segoe UI"/>
      <family val="2"/>
    </font>
    <font>
      <sz val="11"/>
      <color rgb="FFFF0000"/>
      <name val="Calibri"/>
      <family val="2"/>
      <scheme val="minor"/>
    </font>
    <font>
      <sz val="12"/>
      <name val="Segoe UI"/>
      <family val="2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7">
    <border>
      <left/>
      <right/>
      <top/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3D444D"/>
      </left>
      <right/>
      <top style="medium">
        <color rgb="FF3D444D"/>
      </top>
      <bottom style="medium">
        <color rgb="FF3D444D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95">
    <xf numFmtId="0" fontId="0" fillId="0" borderId="0" xfId="0"/>
    <xf numFmtId="0" fontId="4" fillId="3" borderId="1" xfId="0" applyFont="1" applyFill="1" applyBorder="1" applyAlignment="1">
      <alignment horizontal="left" vertical="center" wrapText="1" indent="1"/>
    </xf>
    <xf numFmtId="0" fontId="4" fillId="3" borderId="2" xfId="0" applyFont="1" applyFill="1" applyBorder="1" applyAlignment="1">
      <alignment horizontal="left" vertical="center" wrapText="1" indent="1"/>
    </xf>
    <xf numFmtId="164" fontId="4" fillId="3" borderId="2" xfId="0" applyNumberFormat="1" applyFont="1" applyFill="1" applyBorder="1" applyAlignment="1">
      <alignment horizontal="left" vertical="center" wrapText="1" indent="1"/>
    </xf>
    <xf numFmtId="14" fontId="4" fillId="3" borderId="2" xfId="0" applyNumberFormat="1" applyFont="1" applyFill="1" applyBorder="1" applyAlignment="1">
      <alignment horizontal="left" vertical="center" wrapText="1" indent="1"/>
    </xf>
    <xf numFmtId="0" fontId="0" fillId="0" borderId="2" xfId="0" applyBorder="1"/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left" vertical="center" wrapText="1" indent="1"/>
    </xf>
    <xf numFmtId="14" fontId="4" fillId="3" borderId="7" xfId="0" applyNumberFormat="1" applyFont="1" applyFill="1" applyBorder="1" applyAlignment="1">
      <alignment horizontal="left" vertical="center" wrapText="1" indent="1"/>
    </xf>
    <xf numFmtId="0" fontId="0" fillId="0" borderId="9" xfId="0" applyBorder="1"/>
    <xf numFmtId="0" fontId="4" fillId="3" borderId="11" xfId="0" applyFont="1" applyFill="1" applyBorder="1" applyAlignment="1">
      <alignment horizontal="left" vertical="center" wrapText="1" indent="1"/>
    </xf>
    <xf numFmtId="0" fontId="4" fillId="3" borderId="12" xfId="0" applyFont="1" applyFill="1" applyBorder="1" applyAlignment="1">
      <alignment horizontal="left" vertical="center" wrapText="1" indent="1"/>
    </xf>
    <xf numFmtId="164" fontId="4" fillId="3" borderId="12" xfId="0" applyNumberFormat="1" applyFont="1" applyFill="1" applyBorder="1" applyAlignment="1">
      <alignment horizontal="left" vertical="center" wrapText="1" indent="1"/>
    </xf>
    <xf numFmtId="14" fontId="4" fillId="3" borderId="13" xfId="0" applyNumberFormat="1" applyFont="1" applyFill="1" applyBorder="1" applyAlignment="1">
      <alignment horizontal="left" vertical="center" wrapText="1" indent="1"/>
    </xf>
    <xf numFmtId="0" fontId="4" fillId="3" borderId="0" xfId="0" applyFont="1" applyFill="1" applyBorder="1" applyAlignment="1">
      <alignment horizontal="left" vertical="center" wrapText="1" indent="1"/>
    </xf>
    <xf numFmtId="164" fontId="0" fillId="0" borderId="0" xfId="2" applyNumberFormat="1" applyFont="1"/>
    <xf numFmtId="164" fontId="4" fillId="3" borderId="2" xfId="2" applyNumberFormat="1" applyFont="1" applyFill="1" applyBorder="1" applyAlignment="1">
      <alignment horizontal="left" vertical="center" wrapText="1" indent="1"/>
    </xf>
    <xf numFmtId="0" fontId="4" fillId="3" borderId="7" xfId="0" applyFont="1" applyFill="1" applyBorder="1" applyAlignment="1">
      <alignment horizontal="left" vertical="center" wrapText="1" indent="1"/>
    </xf>
    <xf numFmtId="9" fontId="4" fillId="3" borderId="7" xfId="3" applyFont="1" applyFill="1" applyBorder="1" applyAlignment="1">
      <alignment horizontal="left" vertical="center" wrapText="1" indent="1"/>
    </xf>
    <xf numFmtId="9" fontId="4" fillId="3" borderId="13" xfId="3" applyFont="1" applyFill="1" applyBorder="1" applyAlignment="1">
      <alignment horizontal="left" vertical="center" wrapText="1" indent="1"/>
    </xf>
    <xf numFmtId="0" fontId="3" fillId="7" borderId="14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164" fontId="3" fillId="7" borderId="15" xfId="2" applyNumberFormat="1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2" fillId="2" borderId="3" xfId="4" applyFont="1" applyBorder="1" applyAlignment="1">
      <alignment horizontal="center" vertical="center" wrapText="1"/>
    </xf>
    <xf numFmtId="0" fontId="2" fillId="2" borderId="4" xfId="4" applyFont="1" applyBorder="1" applyAlignment="1">
      <alignment horizontal="center" vertical="center" wrapText="1"/>
    </xf>
    <xf numFmtId="0" fontId="2" fillId="2" borderId="5" xfId="4" applyFont="1" applyBorder="1" applyAlignment="1">
      <alignment horizontal="center" vertical="center" wrapText="1"/>
    </xf>
    <xf numFmtId="0" fontId="4" fillId="3" borderId="8" xfId="0" applyFont="1" applyFill="1" applyBorder="1" applyAlignment="1">
      <alignment horizontal="left" vertical="center" wrapText="1" indent="1"/>
    </xf>
    <xf numFmtId="14" fontId="4" fillId="3" borderId="9" xfId="0" applyNumberFormat="1" applyFont="1" applyFill="1" applyBorder="1" applyAlignment="1">
      <alignment horizontal="left" vertical="center" wrapText="1" indent="1"/>
    </xf>
    <xf numFmtId="0" fontId="4" fillId="3" borderId="10" xfId="0" applyFont="1" applyFill="1" applyBorder="1" applyAlignment="1">
      <alignment horizontal="left" vertical="center" wrapText="1" indent="1"/>
    </xf>
    <xf numFmtId="0" fontId="7" fillId="8" borderId="17" xfId="0" applyFont="1" applyFill="1" applyBorder="1" applyAlignment="1">
      <alignment horizontal="center" vertical="center" wrapText="1"/>
    </xf>
    <xf numFmtId="0" fontId="7" fillId="8" borderId="18" xfId="0" applyFont="1" applyFill="1" applyBorder="1" applyAlignment="1">
      <alignment horizontal="center" vertical="center" wrapText="1"/>
    </xf>
    <xf numFmtId="0" fontId="7" fillId="8" borderId="19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left" vertical="center" wrapText="1" indent="1"/>
    </xf>
    <xf numFmtId="14" fontId="4" fillId="3" borderId="15" xfId="0" applyNumberFormat="1" applyFont="1" applyFill="1" applyBorder="1" applyAlignment="1">
      <alignment horizontal="left" vertical="center" wrapText="1" indent="1"/>
    </xf>
    <xf numFmtId="0" fontId="4" fillId="3" borderId="16" xfId="0" applyFont="1" applyFill="1" applyBorder="1" applyAlignment="1">
      <alignment horizontal="left" vertical="center" wrapText="1" indent="1"/>
    </xf>
    <xf numFmtId="0" fontId="2" fillId="9" borderId="5" xfId="0" applyFont="1" applyFill="1" applyBorder="1" applyAlignment="1">
      <alignment horizontal="center"/>
    </xf>
    <xf numFmtId="0" fontId="2" fillId="9" borderId="7" xfId="0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3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left" vertical="center" wrapText="1" indent="1"/>
    </xf>
    <xf numFmtId="43" fontId="8" fillId="9" borderId="1" xfId="1" applyFont="1" applyFill="1" applyBorder="1" applyAlignment="1">
      <alignment horizontal="left" vertical="center" wrapText="1" indent="1"/>
    </xf>
    <xf numFmtId="165" fontId="8" fillId="9" borderId="1" xfId="1" applyNumberFormat="1" applyFont="1" applyFill="1" applyBorder="1" applyAlignment="1">
      <alignment horizontal="left" vertical="center" wrapText="1" indent="1"/>
    </xf>
    <xf numFmtId="0" fontId="9" fillId="8" borderId="1" xfId="0" applyFont="1" applyFill="1" applyBorder="1" applyAlignment="1">
      <alignment horizontal="center" vertical="center" wrapText="1"/>
    </xf>
    <xf numFmtId="165" fontId="9" fillId="8" borderId="1" xfId="1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 indent="1"/>
    </xf>
    <xf numFmtId="0" fontId="2" fillId="10" borderId="2" xfId="0" applyFont="1" applyFill="1" applyBorder="1"/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7" fillId="8" borderId="1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left" vertical="center" wrapText="1" indent="1"/>
    </xf>
    <xf numFmtId="0" fontId="7" fillId="8" borderId="2" xfId="0" applyFont="1" applyFill="1" applyBorder="1" applyAlignment="1">
      <alignment horizontal="left" vertical="center" wrapText="1" indent="1"/>
    </xf>
    <xf numFmtId="0" fontId="2" fillId="11" borderId="2" xfId="0" applyFont="1" applyFill="1" applyBorder="1"/>
    <xf numFmtId="0" fontId="1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 indent="1"/>
    </xf>
    <xf numFmtId="0" fontId="12" fillId="0" borderId="0" xfId="0" applyFont="1" applyFill="1"/>
    <xf numFmtId="0" fontId="3" fillId="0" borderId="6" xfId="0" applyFont="1" applyFill="1" applyBorder="1" applyAlignment="1">
      <alignment horizontal="left" vertical="center" wrapText="1" indent="1"/>
    </xf>
    <xf numFmtId="0" fontId="3" fillId="0" borderId="7" xfId="0" applyFont="1" applyFill="1" applyBorder="1" applyAlignment="1">
      <alignment horizontal="left" vertical="center" wrapText="1" indent="1"/>
    </xf>
    <xf numFmtId="0" fontId="3" fillId="0" borderId="11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/>
    </xf>
    <xf numFmtId="0" fontId="0" fillId="0" borderId="5" xfId="0" applyBorder="1"/>
    <xf numFmtId="0" fontId="11" fillId="8" borderId="3" xfId="0" applyFont="1" applyFill="1" applyBorder="1" applyAlignment="1">
      <alignment horizontal="center" vertical="center" wrapText="1"/>
    </xf>
    <xf numFmtId="0" fontId="11" fillId="8" borderId="5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10" borderId="5" xfId="0" applyFill="1" applyBorder="1"/>
    <xf numFmtId="0" fontId="0" fillId="10" borderId="13" xfId="0" applyFill="1" applyBorder="1"/>
    <xf numFmtId="0" fontId="11" fillId="8" borderId="1" xfId="0" applyFont="1" applyFill="1" applyBorder="1" applyAlignment="1">
      <alignment horizontal="center" vertical="center" wrapText="1"/>
    </xf>
    <xf numFmtId="0" fontId="13" fillId="0" borderId="21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0" borderId="23" xfId="0" applyFont="1" applyBorder="1"/>
    <xf numFmtId="0" fontId="10" fillId="0" borderId="2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6" xfId="0" applyFont="1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14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left" vertical="center" wrapText="1" indent="1"/>
    </xf>
  </cellXfs>
  <cellStyles count="5">
    <cellStyle name="60% - Accent1" xfId="4" builtinId="32"/>
    <cellStyle name="Comma" xfId="1" builtinId="3"/>
    <cellStyle name="Currency" xfId="2" builtinId="4"/>
    <cellStyle name="Normal" xfId="0" builtinId="0"/>
    <cellStyle name="Percent" xfId="3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ADBE-8BDA-4D34-9D3D-A7950E4FF115}">
  <dimension ref="A1:E22"/>
  <sheetViews>
    <sheetView workbookViewId="0">
      <selection activeCell="I6" sqref="I6"/>
    </sheetView>
  </sheetViews>
  <sheetFormatPr defaultRowHeight="15" x14ac:dyDescent="0.25"/>
  <cols>
    <col min="1" max="1" width="15.42578125" style="5" bestFit="1" customWidth="1"/>
    <col min="2" max="2" width="15.7109375" style="5" bestFit="1" customWidth="1"/>
    <col min="3" max="3" width="14.7109375" style="5" bestFit="1" customWidth="1"/>
    <col min="4" max="4" width="15.5703125" style="5" bestFit="1" customWidth="1"/>
    <col min="5" max="5" width="15.42578125" style="5" bestFit="1" customWidth="1"/>
  </cols>
  <sheetData>
    <row r="1" spans="1:5" ht="17.25" x14ac:dyDescent="0.25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</row>
    <row r="2" spans="1:5" ht="17.25" x14ac:dyDescent="0.25">
      <c r="A2" s="9" t="s">
        <v>5</v>
      </c>
      <c r="B2" s="2" t="s">
        <v>6</v>
      </c>
      <c r="C2" s="2" t="s">
        <v>7</v>
      </c>
      <c r="D2" s="3">
        <v>32000</v>
      </c>
      <c r="E2" s="10">
        <v>44573</v>
      </c>
    </row>
    <row r="3" spans="1:5" ht="17.25" x14ac:dyDescent="0.25">
      <c r="A3" s="9" t="s">
        <v>8</v>
      </c>
      <c r="B3" s="2" t="s">
        <v>9</v>
      </c>
      <c r="C3" s="2" t="s">
        <v>10</v>
      </c>
      <c r="D3" s="3">
        <v>45000</v>
      </c>
      <c r="E3" s="10">
        <v>44260</v>
      </c>
    </row>
    <row r="4" spans="1:5" ht="17.25" x14ac:dyDescent="0.25">
      <c r="A4" s="9" t="s">
        <v>11</v>
      </c>
      <c r="B4" s="2" t="s">
        <v>12</v>
      </c>
      <c r="C4" s="2" t="s">
        <v>13</v>
      </c>
      <c r="D4" s="3">
        <v>38000</v>
      </c>
      <c r="E4" s="10">
        <v>44030</v>
      </c>
    </row>
    <row r="5" spans="1:5" ht="17.25" x14ac:dyDescent="0.25">
      <c r="A5" s="9" t="s">
        <v>14</v>
      </c>
      <c r="B5" s="2" t="s">
        <v>15</v>
      </c>
      <c r="C5" s="2" t="s">
        <v>10</v>
      </c>
      <c r="D5" s="3">
        <v>52000</v>
      </c>
      <c r="E5" s="10">
        <v>43779</v>
      </c>
    </row>
    <row r="6" spans="1:5" ht="17.25" x14ac:dyDescent="0.25">
      <c r="A6" s="9" t="s">
        <v>16</v>
      </c>
      <c r="B6" s="2" t="s">
        <v>17</v>
      </c>
      <c r="C6" s="2" t="s">
        <v>18</v>
      </c>
      <c r="D6" s="3">
        <v>30000</v>
      </c>
      <c r="E6" s="10">
        <v>45102</v>
      </c>
    </row>
    <row r="7" spans="1:5" ht="17.25" x14ac:dyDescent="0.25">
      <c r="A7" s="9" t="s">
        <v>19</v>
      </c>
      <c r="B7" s="2" t="s">
        <v>6</v>
      </c>
      <c r="C7" s="2" t="s">
        <v>7</v>
      </c>
      <c r="D7" s="3">
        <v>30001</v>
      </c>
      <c r="E7" s="10">
        <v>44573</v>
      </c>
    </row>
    <row r="8" spans="1:5" ht="17.25" x14ac:dyDescent="0.25">
      <c r="A8" s="9" t="s">
        <v>20</v>
      </c>
      <c r="B8" s="2" t="s">
        <v>9</v>
      </c>
      <c r="C8" s="2" t="s">
        <v>10</v>
      </c>
      <c r="D8" s="3">
        <v>30002</v>
      </c>
      <c r="E8" s="10">
        <v>44260</v>
      </c>
    </row>
    <row r="9" spans="1:5" ht="17.25" x14ac:dyDescent="0.25">
      <c r="A9" s="9" t="s">
        <v>21</v>
      </c>
      <c r="B9" s="2" t="s">
        <v>12</v>
      </c>
      <c r="C9" s="2" t="s">
        <v>13</v>
      </c>
      <c r="D9" s="3">
        <v>30003</v>
      </c>
      <c r="E9" s="10">
        <v>44030</v>
      </c>
    </row>
    <row r="10" spans="1:5" ht="17.25" x14ac:dyDescent="0.25">
      <c r="A10" s="9" t="s">
        <v>22</v>
      </c>
      <c r="B10" s="2" t="s">
        <v>15</v>
      </c>
      <c r="C10" s="2" t="s">
        <v>10</v>
      </c>
      <c r="D10" s="3">
        <v>30004</v>
      </c>
      <c r="E10" s="10">
        <v>43779</v>
      </c>
    </row>
    <row r="11" spans="1:5" ht="17.25" x14ac:dyDescent="0.25">
      <c r="A11" s="9" t="s">
        <v>23</v>
      </c>
      <c r="B11" s="2" t="s">
        <v>17</v>
      </c>
      <c r="C11" s="2" t="s">
        <v>18</v>
      </c>
      <c r="D11" s="3">
        <v>30005</v>
      </c>
      <c r="E11" s="10">
        <v>45102</v>
      </c>
    </row>
    <row r="12" spans="1:5" ht="17.25" x14ac:dyDescent="0.25">
      <c r="A12" s="9" t="s">
        <v>24</v>
      </c>
      <c r="B12" s="2" t="s">
        <v>6</v>
      </c>
      <c r="C12" s="2" t="s">
        <v>7</v>
      </c>
      <c r="D12" s="3">
        <v>30006</v>
      </c>
      <c r="E12" s="10">
        <v>44573</v>
      </c>
    </row>
    <row r="13" spans="1:5" ht="17.25" x14ac:dyDescent="0.25">
      <c r="A13" s="9" t="s">
        <v>25</v>
      </c>
      <c r="B13" s="2" t="s">
        <v>9</v>
      </c>
      <c r="C13" s="2" t="s">
        <v>10</v>
      </c>
      <c r="D13" s="3">
        <v>30007</v>
      </c>
      <c r="E13" s="10">
        <v>44260</v>
      </c>
    </row>
    <row r="14" spans="1:5" ht="17.25" x14ac:dyDescent="0.25">
      <c r="A14" s="9" t="s">
        <v>26</v>
      </c>
      <c r="B14" s="2" t="s">
        <v>12</v>
      </c>
      <c r="C14" s="2" t="s">
        <v>13</v>
      </c>
      <c r="D14" s="3">
        <v>30008</v>
      </c>
      <c r="E14" s="10">
        <v>44030</v>
      </c>
    </row>
    <row r="15" spans="1:5" ht="17.25" x14ac:dyDescent="0.25">
      <c r="A15" s="9" t="s">
        <v>27</v>
      </c>
      <c r="B15" s="2" t="s">
        <v>15</v>
      </c>
      <c r="C15" s="2" t="s">
        <v>10</v>
      </c>
      <c r="D15" s="3">
        <v>30009</v>
      </c>
      <c r="E15" s="10">
        <v>43779</v>
      </c>
    </row>
    <row r="16" spans="1:5" ht="17.25" x14ac:dyDescent="0.25">
      <c r="A16" s="9" t="s">
        <v>28</v>
      </c>
      <c r="B16" s="2" t="s">
        <v>17</v>
      </c>
      <c r="C16" s="2" t="s">
        <v>18</v>
      </c>
      <c r="D16" s="3">
        <v>30010</v>
      </c>
      <c r="E16" s="10">
        <v>45102</v>
      </c>
    </row>
    <row r="17" spans="1:5" ht="17.25" x14ac:dyDescent="0.25">
      <c r="A17" s="9" t="s">
        <v>29</v>
      </c>
      <c r="B17" s="2" t="s">
        <v>6</v>
      </c>
      <c r="C17" s="2" t="s">
        <v>7</v>
      </c>
      <c r="D17" s="3">
        <v>30011</v>
      </c>
      <c r="E17" s="10">
        <v>44573</v>
      </c>
    </row>
    <row r="18" spans="1:5" ht="17.25" x14ac:dyDescent="0.25">
      <c r="A18" s="9" t="s">
        <v>30</v>
      </c>
      <c r="B18" s="2" t="s">
        <v>9</v>
      </c>
      <c r="C18" s="2" t="s">
        <v>10</v>
      </c>
      <c r="D18" s="3">
        <v>30012</v>
      </c>
      <c r="E18" s="10">
        <v>44260</v>
      </c>
    </row>
    <row r="19" spans="1:5" ht="17.25" x14ac:dyDescent="0.25">
      <c r="A19" s="9" t="s">
        <v>31</v>
      </c>
      <c r="B19" s="2" t="s">
        <v>12</v>
      </c>
      <c r="C19" s="2" t="s">
        <v>13</v>
      </c>
      <c r="D19" s="3">
        <v>30013</v>
      </c>
      <c r="E19" s="10">
        <v>44030</v>
      </c>
    </row>
    <row r="20" spans="1:5" ht="17.25" x14ac:dyDescent="0.25">
      <c r="A20" s="9" t="s">
        <v>32</v>
      </c>
      <c r="B20" s="2" t="s">
        <v>15</v>
      </c>
      <c r="C20" s="2" t="s">
        <v>10</v>
      </c>
      <c r="D20" s="3">
        <v>30014</v>
      </c>
      <c r="E20" s="10">
        <v>43779</v>
      </c>
    </row>
    <row r="21" spans="1:5" ht="18" thickBot="1" x14ac:dyDescent="0.3">
      <c r="A21" s="12" t="s">
        <v>33</v>
      </c>
      <c r="B21" s="13" t="s">
        <v>34</v>
      </c>
      <c r="C21" s="13" t="s">
        <v>18</v>
      </c>
      <c r="D21" s="14">
        <v>30015</v>
      </c>
      <c r="E21" s="15">
        <v>45102</v>
      </c>
    </row>
    <row r="22" spans="1:5" x14ac:dyDescent="0.25">
      <c r="A22" s="11"/>
      <c r="B22" s="11"/>
      <c r="C22" s="11"/>
      <c r="D22" s="11"/>
      <c r="E22" s="11"/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901-6706-4160-B948-CDF6A134C017}">
  <dimension ref="A1:D22"/>
  <sheetViews>
    <sheetView workbookViewId="0">
      <selection activeCell="D3" sqref="D3"/>
    </sheetView>
  </sheetViews>
  <sheetFormatPr defaultRowHeight="15" x14ac:dyDescent="0.25"/>
  <cols>
    <col min="1" max="1" width="26.28515625" bestFit="1" customWidth="1"/>
    <col min="2" max="2" width="9.140625" bestFit="1" customWidth="1"/>
    <col min="3" max="3" width="17.7109375" style="17" bestFit="1" customWidth="1"/>
    <col min="4" max="4" width="15" bestFit="1" customWidth="1"/>
  </cols>
  <sheetData>
    <row r="1" spans="1:4" ht="21" x14ac:dyDescent="0.35">
      <c r="A1" s="50" t="s">
        <v>51</v>
      </c>
      <c r="B1" s="51"/>
      <c r="C1" s="51"/>
      <c r="D1" s="52"/>
    </row>
    <row r="2" spans="1:4" ht="17.25" x14ac:dyDescent="0.25">
      <c r="A2" s="22" t="s">
        <v>35</v>
      </c>
      <c r="B2" s="23" t="s">
        <v>36</v>
      </c>
      <c r="C2" s="24" t="s">
        <v>37</v>
      </c>
      <c r="D2" s="25" t="s">
        <v>38</v>
      </c>
    </row>
    <row r="3" spans="1:4" ht="17.25" x14ac:dyDescent="0.25">
      <c r="A3" s="2" t="s">
        <v>39</v>
      </c>
      <c r="B3" s="2" t="s">
        <v>40</v>
      </c>
      <c r="C3" s="18">
        <v>45000</v>
      </c>
      <c r="D3" s="2" t="s">
        <v>41</v>
      </c>
    </row>
    <row r="4" spans="1:4" ht="17.25" x14ac:dyDescent="0.25">
      <c r="A4" s="2" t="s">
        <v>42</v>
      </c>
      <c r="B4" s="2" t="s">
        <v>43</v>
      </c>
      <c r="C4" s="18">
        <v>1200</v>
      </c>
      <c r="D4" s="2" t="s">
        <v>44</v>
      </c>
    </row>
    <row r="5" spans="1:4" ht="34.5" x14ac:dyDescent="0.25">
      <c r="A5" s="2" t="s">
        <v>45</v>
      </c>
      <c r="B5" s="2" t="s">
        <v>46</v>
      </c>
      <c r="C5" s="18">
        <v>18000</v>
      </c>
      <c r="D5" s="2" t="s">
        <v>47</v>
      </c>
    </row>
    <row r="6" spans="1:4" ht="34.5" x14ac:dyDescent="0.25">
      <c r="A6" s="2" t="s">
        <v>48</v>
      </c>
      <c r="B6" s="2" t="s">
        <v>49</v>
      </c>
      <c r="C6" s="18">
        <v>62000</v>
      </c>
      <c r="D6" s="2" t="s">
        <v>50</v>
      </c>
    </row>
    <row r="7" spans="1:4" ht="17.25" x14ac:dyDescent="0.25">
      <c r="A7" s="2" t="s">
        <v>71</v>
      </c>
      <c r="B7" s="2" t="s">
        <v>40</v>
      </c>
      <c r="C7" s="18">
        <v>48500</v>
      </c>
      <c r="D7" s="2" t="s">
        <v>41</v>
      </c>
    </row>
    <row r="8" spans="1:4" ht="17.25" x14ac:dyDescent="0.25">
      <c r="A8" s="2" t="s">
        <v>42</v>
      </c>
      <c r="B8" s="2" t="s">
        <v>43</v>
      </c>
      <c r="C8" s="18">
        <v>55280</v>
      </c>
      <c r="D8" s="2" t="s">
        <v>44</v>
      </c>
    </row>
    <row r="9" spans="1:4" ht="34.5" x14ac:dyDescent="0.25">
      <c r="A9" s="2" t="s">
        <v>45</v>
      </c>
      <c r="B9" s="2" t="s">
        <v>46</v>
      </c>
      <c r="C9" s="18">
        <v>62060</v>
      </c>
      <c r="D9" s="2" t="s">
        <v>47</v>
      </c>
    </row>
    <row r="10" spans="1:4" ht="34.5" x14ac:dyDescent="0.25">
      <c r="A10" s="2" t="s">
        <v>48</v>
      </c>
      <c r="B10" s="2" t="s">
        <v>49</v>
      </c>
      <c r="C10" s="18">
        <v>68840</v>
      </c>
      <c r="D10" s="2" t="s">
        <v>50</v>
      </c>
    </row>
    <row r="11" spans="1:4" ht="17.25" x14ac:dyDescent="0.25">
      <c r="A11" s="2" t="s">
        <v>72</v>
      </c>
      <c r="B11" s="2" t="s">
        <v>40</v>
      </c>
      <c r="C11" s="18">
        <v>75620</v>
      </c>
      <c r="D11" s="2" t="s">
        <v>41</v>
      </c>
    </row>
    <row r="12" spans="1:4" ht="17.25" x14ac:dyDescent="0.25">
      <c r="A12" s="2" t="s">
        <v>42</v>
      </c>
      <c r="B12" s="2" t="s">
        <v>43</v>
      </c>
      <c r="C12" s="18">
        <v>82400</v>
      </c>
      <c r="D12" s="2" t="s">
        <v>44</v>
      </c>
    </row>
    <row r="13" spans="1:4" ht="34.5" x14ac:dyDescent="0.25">
      <c r="A13" s="2" t="s">
        <v>45</v>
      </c>
      <c r="B13" s="2" t="s">
        <v>46</v>
      </c>
      <c r="C13" s="18">
        <v>89180</v>
      </c>
      <c r="D13" s="2" t="s">
        <v>47</v>
      </c>
    </row>
    <row r="14" spans="1:4" ht="34.5" x14ac:dyDescent="0.25">
      <c r="A14" s="2" t="s">
        <v>48</v>
      </c>
      <c r="B14" s="2" t="s">
        <v>49</v>
      </c>
      <c r="C14" s="18">
        <v>95960</v>
      </c>
      <c r="D14" s="2" t="s">
        <v>50</v>
      </c>
    </row>
    <row r="15" spans="1:4" ht="17.25" x14ac:dyDescent="0.25">
      <c r="A15" s="2" t="s">
        <v>73</v>
      </c>
      <c r="B15" s="2" t="s">
        <v>40</v>
      </c>
      <c r="C15" s="18">
        <v>102740</v>
      </c>
      <c r="D15" s="2" t="s">
        <v>41</v>
      </c>
    </row>
    <row r="16" spans="1:4" ht="17.25" x14ac:dyDescent="0.25">
      <c r="A16" s="2" t="s">
        <v>42</v>
      </c>
      <c r="B16" s="2" t="s">
        <v>43</v>
      </c>
      <c r="C16" s="18">
        <v>109520</v>
      </c>
      <c r="D16" s="2" t="s">
        <v>44</v>
      </c>
    </row>
    <row r="17" spans="1:4" ht="34.5" x14ac:dyDescent="0.25">
      <c r="A17" s="2" t="s">
        <v>45</v>
      </c>
      <c r="B17" s="2" t="s">
        <v>46</v>
      </c>
      <c r="C17" s="18">
        <v>116300</v>
      </c>
      <c r="D17" s="2" t="s">
        <v>47</v>
      </c>
    </row>
    <row r="18" spans="1:4" ht="34.5" x14ac:dyDescent="0.25">
      <c r="A18" s="2" t="s">
        <v>48</v>
      </c>
      <c r="B18" s="2" t="s">
        <v>49</v>
      </c>
      <c r="C18" s="18">
        <v>123080</v>
      </c>
      <c r="D18" s="2" t="s">
        <v>50</v>
      </c>
    </row>
    <row r="19" spans="1:4" ht="17.25" x14ac:dyDescent="0.25">
      <c r="A19" s="2" t="s">
        <v>74</v>
      </c>
      <c r="B19" s="2" t="s">
        <v>40</v>
      </c>
      <c r="C19" s="18">
        <v>129860</v>
      </c>
      <c r="D19" s="2" t="s">
        <v>41</v>
      </c>
    </row>
    <row r="20" spans="1:4" ht="17.25" x14ac:dyDescent="0.25">
      <c r="A20" s="2" t="s">
        <v>42</v>
      </c>
      <c r="B20" s="2" t="s">
        <v>43</v>
      </c>
      <c r="C20" s="18">
        <v>136640</v>
      </c>
      <c r="D20" s="2" t="s">
        <v>44</v>
      </c>
    </row>
    <row r="21" spans="1:4" ht="34.5" x14ac:dyDescent="0.25">
      <c r="A21" s="2" t="s">
        <v>45</v>
      </c>
      <c r="B21" s="2" t="s">
        <v>46</v>
      </c>
      <c r="C21" s="18">
        <v>143420</v>
      </c>
      <c r="D21" s="2" t="s">
        <v>47</v>
      </c>
    </row>
    <row r="22" spans="1:4" ht="17.25" x14ac:dyDescent="0.25">
      <c r="A22" s="2" t="s">
        <v>71</v>
      </c>
      <c r="B22" s="2" t="s">
        <v>40</v>
      </c>
      <c r="C22" s="18">
        <v>150200</v>
      </c>
      <c r="D22" s="2" t="s">
        <v>41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CF4FA-402D-4919-8282-EC7B418634C2}">
  <dimension ref="A1:G21"/>
  <sheetViews>
    <sheetView zoomScale="120" zoomScaleNormal="120" workbookViewId="0">
      <selection activeCell="H7" sqref="H7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9.42578125" customWidth="1"/>
    <col min="7" max="7" width="13.85546875" bestFit="1" customWidth="1"/>
  </cols>
  <sheetData>
    <row r="1" spans="1:7" x14ac:dyDescent="0.25">
      <c r="A1" s="26" t="s">
        <v>52</v>
      </c>
      <c r="B1" s="27" t="s">
        <v>53</v>
      </c>
      <c r="C1" s="27" t="s">
        <v>54</v>
      </c>
      <c r="D1" s="27" t="s">
        <v>55</v>
      </c>
      <c r="E1" s="27" t="s">
        <v>56</v>
      </c>
      <c r="F1" s="27" t="s">
        <v>63</v>
      </c>
      <c r="G1" s="28" t="s">
        <v>57</v>
      </c>
    </row>
    <row r="2" spans="1:7" ht="17.25" x14ac:dyDescent="0.25">
      <c r="A2" s="9">
        <v>1</v>
      </c>
      <c r="B2" s="2" t="s">
        <v>58</v>
      </c>
      <c r="C2" s="2">
        <v>78</v>
      </c>
      <c r="D2" s="2">
        <v>82</v>
      </c>
      <c r="E2" s="2">
        <v>74</v>
      </c>
      <c r="F2" s="2">
        <f>SUM(C2:E2)</f>
        <v>234</v>
      </c>
      <c r="G2" s="20">
        <f>F2/300</f>
        <v>0.78</v>
      </c>
    </row>
    <row r="3" spans="1:7" ht="17.25" x14ac:dyDescent="0.25">
      <c r="A3" s="9">
        <v>2</v>
      </c>
      <c r="B3" s="2" t="s">
        <v>59</v>
      </c>
      <c r="C3" s="2">
        <v>65</v>
      </c>
      <c r="D3" s="2">
        <v>70</v>
      </c>
      <c r="E3" s="2">
        <v>68</v>
      </c>
      <c r="F3" s="2">
        <f>SUM(C3:E3)</f>
        <v>203</v>
      </c>
      <c r="G3" s="20">
        <f t="shared" ref="G3:G21" si="0">F3/300</f>
        <v>0.67666666666666664</v>
      </c>
    </row>
    <row r="4" spans="1:7" ht="17.25" x14ac:dyDescent="0.25">
      <c r="A4" s="9">
        <v>3</v>
      </c>
      <c r="B4" s="2" t="s">
        <v>60</v>
      </c>
      <c r="C4" s="2">
        <v>90</v>
      </c>
      <c r="D4" s="2">
        <v>88</v>
      </c>
      <c r="E4" s="2">
        <v>92</v>
      </c>
      <c r="F4" s="2">
        <f>SUM(C4:E4)</f>
        <v>270</v>
      </c>
      <c r="G4" s="20">
        <f t="shared" si="0"/>
        <v>0.9</v>
      </c>
    </row>
    <row r="5" spans="1:7" ht="17.25" x14ac:dyDescent="0.25">
      <c r="A5" s="9">
        <v>4</v>
      </c>
      <c r="B5" s="2" t="s">
        <v>61</v>
      </c>
      <c r="C5" s="2">
        <v>35</v>
      </c>
      <c r="D5" s="2">
        <v>40</v>
      </c>
      <c r="E5" s="2">
        <v>38</v>
      </c>
      <c r="F5" s="2">
        <f>SUM(C5:E5)</f>
        <v>113</v>
      </c>
      <c r="G5" s="20">
        <f t="shared" si="0"/>
        <v>0.37666666666666665</v>
      </c>
    </row>
    <row r="6" spans="1:7" ht="17.25" x14ac:dyDescent="0.25">
      <c r="A6" s="9">
        <v>5</v>
      </c>
      <c r="B6" s="2" t="s">
        <v>62</v>
      </c>
      <c r="C6" s="2">
        <v>55</v>
      </c>
      <c r="D6" s="2">
        <v>60</v>
      </c>
      <c r="E6" s="2">
        <v>58</v>
      </c>
      <c r="F6" s="2">
        <f>SUM(C6:E6)</f>
        <v>173</v>
      </c>
      <c r="G6" s="20">
        <f t="shared" si="0"/>
        <v>0.57666666666666666</v>
      </c>
    </row>
    <row r="7" spans="1:7" ht="17.25" x14ac:dyDescent="0.25">
      <c r="A7" s="9">
        <v>1</v>
      </c>
      <c r="B7" s="2" t="s">
        <v>58</v>
      </c>
      <c r="C7" s="2">
        <v>78</v>
      </c>
      <c r="D7" s="2">
        <v>82</v>
      </c>
      <c r="E7" s="2">
        <v>74</v>
      </c>
      <c r="F7" s="2">
        <f t="shared" ref="F7:F21" si="1">SUM(C7:E7)</f>
        <v>234</v>
      </c>
      <c r="G7" s="20">
        <f t="shared" si="0"/>
        <v>0.78</v>
      </c>
    </row>
    <row r="8" spans="1:7" ht="17.25" x14ac:dyDescent="0.25">
      <c r="A8" s="9">
        <v>2</v>
      </c>
      <c r="B8" s="2" t="s">
        <v>59</v>
      </c>
      <c r="C8" s="2">
        <v>65</v>
      </c>
      <c r="D8" s="2">
        <v>70</v>
      </c>
      <c r="E8" s="2">
        <v>68</v>
      </c>
      <c r="F8" s="2">
        <f t="shared" si="1"/>
        <v>203</v>
      </c>
      <c r="G8" s="20">
        <f t="shared" si="0"/>
        <v>0.67666666666666664</v>
      </c>
    </row>
    <row r="9" spans="1:7" ht="17.25" x14ac:dyDescent="0.25">
      <c r="A9" s="9">
        <v>3</v>
      </c>
      <c r="B9" s="2" t="s">
        <v>60</v>
      </c>
      <c r="C9" s="2">
        <v>90</v>
      </c>
      <c r="D9" s="2">
        <v>88</v>
      </c>
      <c r="E9" s="2">
        <v>92</v>
      </c>
      <c r="F9" s="2">
        <f t="shared" si="1"/>
        <v>270</v>
      </c>
      <c r="G9" s="20">
        <f t="shared" si="0"/>
        <v>0.9</v>
      </c>
    </row>
    <row r="10" spans="1:7" ht="17.25" x14ac:dyDescent="0.25">
      <c r="A10" s="9">
        <v>4</v>
      </c>
      <c r="B10" s="2" t="s">
        <v>61</v>
      </c>
      <c r="C10" s="2">
        <v>35</v>
      </c>
      <c r="D10" s="2">
        <v>40</v>
      </c>
      <c r="E10" s="2">
        <v>38</v>
      </c>
      <c r="F10" s="2">
        <f t="shared" si="1"/>
        <v>113</v>
      </c>
      <c r="G10" s="20">
        <f t="shared" si="0"/>
        <v>0.37666666666666665</v>
      </c>
    </row>
    <row r="11" spans="1:7" ht="17.25" x14ac:dyDescent="0.25">
      <c r="A11" s="9">
        <v>5</v>
      </c>
      <c r="B11" s="2" t="s">
        <v>62</v>
      </c>
      <c r="C11" s="2">
        <v>55</v>
      </c>
      <c r="D11" s="2">
        <v>60</v>
      </c>
      <c r="E11" s="2">
        <v>58</v>
      </c>
      <c r="F11" s="2">
        <f t="shared" si="1"/>
        <v>173</v>
      </c>
      <c r="G11" s="20">
        <f t="shared" si="0"/>
        <v>0.57666666666666666</v>
      </c>
    </row>
    <row r="12" spans="1:7" ht="17.25" x14ac:dyDescent="0.25">
      <c r="A12" s="9">
        <v>1</v>
      </c>
      <c r="B12" s="2" t="s">
        <v>58</v>
      </c>
      <c r="C12" s="2">
        <v>78</v>
      </c>
      <c r="D12" s="2">
        <v>82</v>
      </c>
      <c r="E12" s="2">
        <v>74</v>
      </c>
      <c r="F12" s="2">
        <f t="shared" si="1"/>
        <v>234</v>
      </c>
      <c r="G12" s="20">
        <f t="shared" si="0"/>
        <v>0.78</v>
      </c>
    </row>
    <row r="13" spans="1:7" ht="17.25" x14ac:dyDescent="0.25">
      <c r="A13" s="9">
        <v>2</v>
      </c>
      <c r="B13" s="2" t="s">
        <v>59</v>
      </c>
      <c r="C13" s="2">
        <v>65</v>
      </c>
      <c r="D13" s="2">
        <v>70</v>
      </c>
      <c r="E13" s="2">
        <v>68</v>
      </c>
      <c r="F13" s="2">
        <f t="shared" si="1"/>
        <v>203</v>
      </c>
      <c r="G13" s="20">
        <f t="shared" si="0"/>
        <v>0.67666666666666664</v>
      </c>
    </row>
    <row r="14" spans="1:7" ht="17.25" x14ac:dyDescent="0.25">
      <c r="A14" s="9">
        <v>3</v>
      </c>
      <c r="B14" s="2" t="s">
        <v>60</v>
      </c>
      <c r="C14" s="2">
        <v>90</v>
      </c>
      <c r="D14" s="2">
        <v>88</v>
      </c>
      <c r="E14" s="2">
        <v>92</v>
      </c>
      <c r="F14" s="2">
        <f t="shared" si="1"/>
        <v>270</v>
      </c>
      <c r="G14" s="20">
        <f t="shared" si="0"/>
        <v>0.9</v>
      </c>
    </row>
    <row r="15" spans="1:7" ht="17.25" x14ac:dyDescent="0.25">
      <c r="A15" s="9">
        <v>4</v>
      </c>
      <c r="B15" s="2" t="s">
        <v>61</v>
      </c>
      <c r="C15" s="2">
        <v>35</v>
      </c>
      <c r="D15" s="2">
        <v>40</v>
      </c>
      <c r="E15" s="2">
        <v>38</v>
      </c>
      <c r="F15" s="2">
        <f t="shared" si="1"/>
        <v>113</v>
      </c>
      <c r="G15" s="20">
        <f t="shared" si="0"/>
        <v>0.37666666666666665</v>
      </c>
    </row>
    <row r="16" spans="1:7" ht="17.25" x14ac:dyDescent="0.25">
      <c r="A16" s="9">
        <v>5</v>
      </c>
      <c r="B16" s="2" t="s">
        <v>62</v>
      </c>
      <c r="C16" s="2">
        <v>55</v>
      </c>
      <c r="D16" s="2">
        <v>60</v>
      </c>
      <c r="E16" s="2">
        <v>58</v>
      </c>
      <c r="F16" s="2">
        <f t="shared" si="1"/>
        <v>173</v>
      </c>
      <c r="G16" s="20">
        <f t="shared" si="0"/>
        <v>0.57666666666666666</v>
      </c>
    </row>
    <row r="17" spans="1:7" ht="17.25" x14ac:dyDescent="0.25">
      <c r="A17" s="9">
        <v>1</v>
      </c>
      <c r="B17" s="2" t="s">
        <v>58</v>
      </c>
      <c r="C17" s="2">
        <v>78</v>
      </c>
      <c r="D17" s="2">
        <v>82</v>
      </c>
      <c r="E17" s="2">
        <v>74</v>
      </c>
      <c r="F17" s="2">
        <f t="shared" si="1"/>
        <v>234</v>
      </c>
      <c r="G17" s="20">
        <f t="shared" si="0"/>
        <v>0.78</v>
      </c>
    </row>
    <row r="18" spans="1:7" ht="17.25" x14ac:dyDescent="0.25">
      <c r="A18" s="9">
        <v>2</v>
      </c>
      <c r="B18" s="2" t="s">
        <v>59</v>
      </c>
      <c r="C18" s="2">
        <v>65</v>
      </c>
      <c r="D18" s="2">
        <v>70</v>
      </c>
      <c r="E18" s="2">
        <v>68</v>
      </c>
      <c r="F18" s="2">
        <f t="shared" si="1"/>
        <v>203</v>
      </c>
      <c r="G18" s="20">
        <f t="shared" si="0"/>
        <v>0.67666666666666664</v>
      </c>
    </row>
    <row r="19" spans="1:7" ht="17.25" x14ac:dyDescent="0.25">
      <c r="A19" s="9">
        <v>3</v>
      </c>
      <c r="B19" s="2" t="s">
        <v>60</v>
      </c>
      <c r="C19" s="2">
        <v>90</v>
      </c>
      <c r="D19" s="2">
        <v>88</v>
      </c>
      <c r="E19" s="2">
        <v>92</v>
      </c>
      <c r="F19" s="2">
        <f t="shared" si="1"/>
        <v>270</v>
      </c>
      <c r="G19" s="20">
        <f t="shared" si="0"/>
        <v>0.9</v>
      </c>
    </row>
    <row r="20" spans="1:7" ht="17.25" x14ac:dyDescent="0.25">
      <c r="A20" s="9">
        <v>4</v>
      </c>
      <c r="B20" s="2" t="s">
        <v>61</v>
      </c>
      <c r="C20" s="2">
        <v>35</v>
      </c>
      <c r="D20" s="2">
        <v>40</v>
      </c>
      <c r="E20" s="2">
        <v>38</v>
      </c>
      <c r="F20" s="2">
        <f t="shared" si="1"/>
        <v>113</v>
      </c>
      <c r="G20" s="20">
        <f t="shared" si="0"/>
        <v>0.37666666666666665</v>
      </c>
    </row>
    <row r="21" spans="1:7" ht="18" thickBot="1" x14ac:dyDescent="0.3">
      <c r="A21" s="12">
        <v>5</v>
      </c>
      <c r="B21" s="13" t="s">
        <v>62</v>
      </c>
      <c r="C21" s="13">
        <v>55</v>
      </c>
      <c r="D21" s="13">
        <v>60</v>
      </c>
      <c r="E21" s="13">
        <v>58</v>
      </c>
      <c r="F21" s="13">
        <f t="shared" si="1"/>
        <v>173</v>
      </c>
      <c r="G21" s="21">
        <f t="shared" si="0"/>
        <v>0.57666666666666666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498B-1A73-4D84-BFED-1538B5471198}">
  <dimension ref="A1:C26"/>
  <sheetViews>
    <sheetView topLeftCell="A19" workbookViewId="0">
      <selection activeCell="E19" sqref="E19"/>
    </sheetView>
  </sheetViews>
  <sheetFormatPr defaultRowHeight="15" x14ac:dyDescent="0.25"/>
  <cols>
    <col min="1" max="1" width="13.140625" bestFit="1" customWidth="1"/>
    <col min="2" max="2" width="14.7109375" bestFit="1" customWidth="1"/>
    <col min="3" max="3" width="16.42578125" bestFit="1" customWidth="1"/>
  </cols>
  <sheetData>
    <row r="1" spans="1:3" ht="18" thickBot="1" x14ac:dyDescent="0.3">
      <c r="A1" s="32" t="s">
        <v>64</v>
      </c>
      <c r="B1" s="33" t="s">
        <v>65</v>
      </c>
      <c r="C1" s="34" t="s">
        <v>37</v>
      </c>
    </row>
    <row r="2" spans="1:3" ht="17.25" x14ac:dyDescent="0.25">
      <c r="A2" s="29" t="s">
        <v>66</v>
      </c>
      <c r="B2" s="30">
        <v>45292</v>
      </c>
      <c r="C2" s="31">
        <v>12000</v>
      </c>
    </row>
    <row r="3" spans="1:3" ht="17.25" x14ac:dyDescent="0.25">
      <c r="A3" s="9" t="s">
        <v>67</v>
      </c>
      <c r="B3" s="4">
        <v>45294</v>
      </c>
      <c r="C3" s="19">
        <v>25000</v>
      </c>
    </row>
    <row r="4" spans="1:3" ht="17.25" x14ac:dyDescent="0.25">
      <c r="A4" s="9" t="s">
        <v>68</v>
      </c>
      <c r="B4" s="4">
        <v>45296</v>
      </c>
      <c r="C4" s="19">
        <v>8000</v>
      </c>
    </row>
    <row r="5" spans="1:3" ht="17.25" x14ac:dyDescent="0.25">
      <c r="A5" s="9" t="s">
        <v>69</v>
      </c>
      <c r="B5" s="4">
        <v>45299</v>
      </c>
      <c r="C5" s="19">
        <v>32000</v>
      </c>
    </row>
    <row r="6" spans="1:3" ht="17.25" x14ac:dyDescent="0.25">
      <c r="A6" s="9" t="s">
        <v>70</v>
      </c>
      <c r="B6" s="4">
        <v>45301</v>
      </c>
      <c r="C6" s="19">
        <v>15000</v>
      </c>
    </row>
    <row r="7" spans="1:3" ht="17.25" x14ac:dyDescent="0.25">
      <c r="A7" s="9" t="s">
        <v>75</v>
      </c>
      <c r="B7" s="4">
        <v>45292</v>
      </c>
      <c r="C7" s="19">
        <v>22300</v>
      </c>
    </row>
    <row r="8" spans="1:3" ht="17.25" x14ac:dyDescent="0.25">
      <c r="A8" s="9" t="s">
        <v>76</v>
      </c>
      <c r="B8" s="4">
        <v>45294</v>
      </c>
      <c r="C8" s="19">
        <v>23600</v>
      </c>
    </row>
    <row r="9" spans="1:3" ht="17.25" x14ac:dyDescent="0.25">
      <c r="A9" s="9" t="s">
        <v>77</v>
      </c>
      <c r="B9" s="4">
        <v>45296</v>
      </c>
      <c r="C9" s="19">
        <v>24900</v>
      </c>
    </row>
    <row r="10" spans="1:3" ht="17.25" x14ac:dyDescent="0.25">
      <c r="A10" s="9" t="s">
        <v>78</v>
      </c>
      <c r="B10" s="4">
        <v>45299</v>
      </c>
      <c r="C10" s="19">
        <v>26200</v>
      </c>
    </row>
    <row r="11" spans="1:3" ht="17.25" x14ac:dyDescent="0.25">
      <c r="A11" s="9" t="s">
        <v>79</v>
      </c>
      <c r="B11" s="4">
        <v>45301</v>
      </c>
      <c r="C11" s="19">
        <v>27500</v>
      </c>
    </row>
    <row r="12" spans="1:3" ht="17.25" x14ac:dyDescent="0.25">
      <c r="A12" s="9" t="s">
        <v>80</v>
      </c>
      <c r="B12" s="4">
        <v>45292</v>
      </c>
      <c r="C12" s="19">
        <v>28800</v>
      </c>
    </row>
    <row r="13" spans="1:3" ht="17.25" x14ac:dyDescent="0.25">
      <c r="A13" s="9" t="s">
        <v>81</v>
      </c>
      <c r="B13" s="4">
        <v>45294</v>
      </c>
      <c r="C13" s="19">
        <v>30100</v>
      </c>
    </row>
    <row r="14" spans="1:3" ht="17.25" x14ac:dyDescent="0.25">
      <c r="A14" s="9" t="s">
        <v>82</v>
      </c>
      <c r="B14" s="4">
        <v>45296</v>
      </c>
      <c r="C14" s="19">
        <v>31400</v>
      </c>
    </row>
    <row r="15" spans="1:3" ht="17.25" x14ac:dyDescent="0.25">
      <c r="A15" s="9" t="s">
        <v>83</v>
      </c>
      <c r="B15" s="4">
        <v>45299</v>
      </c>
      <c r="C15" s="19">
        <v>32700</v>
      </c>
    </row>
    <row r="16" spans="1:3" ht="17.25" x14ac:dyDescent="0.25">
      <c r="A16" s="9" t="s">
        <v>84</v>
      </c>
      <c r="B16" s="4">
        <v>45301</v>
      </c>
      <c r="C16" s="19">
        <v>34000</v>
      </c>
    </row>
    <row r="17" spans="1:3" ht="17.25" x14ac:dyDescent="0.25">
      <c r="A17" s="9" t="s">
        <v>85</v>
      </c>
      <c r="B17" s="4">
        <v>45292</v>
      </c>
      <c r="C17" s="19">
        <v>35300</v>
      </c>
    </row>
    <row r="18" spans="1:3" ht="17.25" x14ac:dyDescent="0.25">
      <c r="A18" s="9" t="s">
        <v>86</v>
      </c>
      <c r="B18" s="4">
        <v>45294</v>
      </c>
      <c r="C18" s="19">
        <v>36600</v>
      </c>
    </row>
    <row r="19" spans="1:3" ht="17.25" x14ac:dyDescent="0.25">
      <c r="A19" s="9" t="s">
        <v>87</v>
      </c>
      <c r="B19" s="4">
        <v>45296</v>
      </c>
      <c r="C19" s="19">
        <v>37900</v>
      </c>
    </row>
    <row r="20" spans="1:3" ht="17.25" x14ac:dyDescent="0.25">
      <c r="A20" s="9" t="s">
        <v>88</v>
      </c>
      <c r="B20" s="4">
        <v>45299</v>
      </c>
      <c r="C20" s="19">
        <v>39200</v>
      </c>
    </row>
    <row r="21" spans="1:3" ht="18" thickBot="1" x14ac:dyDescent="0.3">
      <c r="A21" s="35" t="s">
        <v>89</v>
      </c>
      <c r="B21" s="36">
        <v>45301</v>
      </c>
      <c r="C21" s="37">
        <v>40500</v>
      </c>
    </row>
    <row r="22" spans="1:3" x14ac:dyDescent="0.25">
      <c r="A22" s="53" t="s">
        <v>63</v>
      </c>
      <c r="B22" s="54"/>
      <c r="C22" s="38">
        <f>SUM(C2:C21)</f>
        <v>563000</v>
      </c>
    </row>
    <row r="23" spans="1:3" x14ac:dyDescent="0.25">
      <c r="A23" s="55" t="s">
        <v>90</v>
      </c>
      <c r="B23" s="56"/>
      <c r="C23" s="39">
        <f>AVERAGE(C2:C21)</f>
        <v>28150</v>
      </c>
    </row>
    <row r="24" spans="1:3" x14ac:dyDescent="0.25">
      <c r="A24" s="55" t="s">
        <v>91</v>
      </c>
      <c r="B24" s="56"/>
      <c r="C24" s="40">
        <f>(MAX(C2:C21))</f>
        <v>40500</v>
      </c>
    </row>
    <row r="25" spans="1:3" ht="15.75" thickBot="1" x14ac:dyDescent="0.3">
      <c r="A25" s="57" t="s">
        <v>92</v>
      </c>
      <c r="B25" s="58"/>
      <c r="C25" s="41">
        <f>MIN(C2:C21)</f>
        <v>8000</v>
      </c>
    </row>
    <row r="26" spans="1:3" x14ac:dyDescent="0.25">
      <c r="A26" s="59"/>
      <c r="B26" s="59"/>
    </row>
  </sheetData>
  <mergeCells count="5">
    <mergeCell ref="A22:B22"/>
    <mergeCell ref="A23:B23"/>
    <mergeCell ref="A25:B25"/>
    <mergeCell ref="A26:B26"/>
    <mergeCell ref="A24:B24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DC00-713E-42EE-8862-E970016B23E2}">
  <dimension ref="A1:I23"/>
  <sheetViews>
    <sheetView workbookViewId="0">
      <selection activeCell="E7" sqref="E7"/>
    </sheetView>
  </sheetViews>
  <sheetFormatPr defaultRowHeight="15" x14ac:dyDescent="0.25"/>
  <cols>
    <col min="1" max="1" width="12.140625" bestFit="1" customWidth="1"/>
    <col min="2" max="2" width="14.7109375" bestFit="1" customWidth="1"/>
    <col min="3" max="3" width="9" bestFit="1" customWidth="1"/>
    <col min="6" max="8" width="14.28515625" bestFit="1" customWidth="1"/>
    <col min="9" max="9" width="7.5703125" bestFit="1" customWidth="1"/>
  </cols>
  <sheetData>
    <row r="1" spans="1:9" ht="35.25" thickBot="1" x14ac:dyDescent="0.3">
      <c r="A1" s="42" t="s">
        <v>93</v>
      </c>
      <c r="B1" s="42" t="s">
        <v>2</v>
      </c>
      <c r="C1" s="42" t="s">
        <v>3</v>
      </c>
      <c r="F1" s="46" t="s">
        <v>2</v>
      </c>
      <c r="G1" s="46" t="s">
        <v>100</v>
      </c>
      <c r="H1" s="47" t="s">
        <v>101</v>
      </c>
      <c r="I1" s="46" t="s">
        <v>102</v>
      </c>
    </row>
    <row r="2" spans="1:9" ht="18" thickBot="1" x14ac:dyDescent="0.3">
      <c r="A2" s="1" t="s">
        <v>94</v>
      </c>
      <c r="B2" s="1" t="s">
        <v>7</v>
      </c>
      <c r="C2" s="1">
        <v>28000</v>
      </c>
      <c r="F2" s="43" t="s">
        <v>7</v>
      </c>
      <c r="G2" s="44">
        <f>SUMIF(B2:B21,"HR",C2:C21)</f>
        <v>247923.8095238095</v>
      </c>
      <c r="H2" s="45">
        <f>AVERAGEIF(B2:B21,"HR",C2:C21)</f>
        <v>35417.687074829926</v>
      </c>
      <c r="I2" s="43">
        <f>COUNTIF(B2:B21,"HR")</f>
        <v>7</v>
      </c>
    </row>
    <row r="3" spans="1:9" ht="18" thickBot="1" x14ac:dyDescent="0.3">
      <c r="A3" s="1" t="s">
        <v>95</v>
      </c>
      <c r="B3" s="1" t="s">
        <v>10</v>
      </c>
      <c r="C3" s="1">
        <v>45000</v>
      </c>
      <c r="F3" s="43" t="s">
        <v>10</v>
      </c>
      <c r="G3" s="44">
        <f>SUMIF(B3:B22,"IT",C3:C22)</f>
        <v>285009.5238095239</v>
      </c>
      <c r="H3" s="45">
        <f>AVERAGEIF(B3:B22,"IT",C3:C22)</f>
        <v>40715.646258503417</v>
      </c>
      <c r="I3" s="43">
        <f>COUNTIF(B3:B22,"IT")</f>
        <v>7</v>
      </c>
    </row>
    <row r="4" spans="1:9" ht="18" thickBot="1" x14ac:dyDescent="0.3">
      <c r="A4" s="1" t="s">
        <v>96</v>
      </c>
      <c r="B4" s="1" t="s">
        <v>10</v>
      </c>
      <c r="C4" s="1">
        <v>50000</v>
      </c>
      <c r="F4" s="43" t="s">
        <v>13</v>
      </c>
      <c r="G4" s="44">
        <f>SUMIF(B4:B23,"FINANCE",C4:C23)</f>
        <v>231733.33333333337</v>
      </c>
      <c r="H4" s="45">
        <f>AVERAGEIF(B4:B23,"FINANCE",C4:C23)</f>
        <v>38622.222222222226</v>
      </c>
      <c r="I4" s="43">
        <f>COUNTIF(B4:B23,"FINANCE")</f>
        <v>6</v>
      </c>
    </row>
    <row r="5" spans="1:9" ht="18" thickBot="1" x14ac:dyDescent="0.3">
      <c r="A5" s="1" t="s">
        <v>97</v>
      </c>
      <c r="B5" s="1" t="s">
        <v>13</v>
      </c>
      <c r="C5" s="1">
        <v>42000</v>
      </c>
    </row>
    <row r="6" spans="1:9" ht="18" thickBot="1" x14ac:dyDescent="0.3">
      <c r="A6" s="1" t="s">
        <v>98</v>
      </c>
      <c r="B6" s="1" t="s">
        <v>7</v>
      </c>
      <c r="C6" s="1">
        <v>30000</v>
      </c>
    </row>
    <row r="7" spans="1:9" ht="18" thickBot="1" x14ac:dyDescent="0.3">
      <c r="A7" s="1" t="s">
        <v>99</v>
      </c>
      <c r="B7" s="1" t="s">
        <v>13</v>
      </c>
      <c r="C7" s="1">
        <v>38000</v>
      </c>
    </row>
    <row r="8" spans="1:9" ht="18" thickBot="1" x14ac:dyDescent="0.3">
      <c r="A8" s="1" t="s">
        <v>94</v>
      </c>
      <c r="B8" s="1" t="s">
        <v>7</v>
      </c>
      <c r="C8" s="1">
        <v>38533.333333333299</v>
      </c>
    </row>
    <row r="9" spans="1:9" ht="18" thickBot="1" x14ac:dyDescent="0.3">
      <c r="A9" s="1" t="s">
        <v>95</v>
      </c>
      <c r="B9" s="1" t="s">
        <v>10</v>
      </c>
      <c r="C9" s="1">
        <v>38447.619047619097</v>
      </c>
    </row>
    <row r="10" spans="1:9" ht="18" thickBot="1" x14ac:dyDescent="0.3">
      <c r="A10" s="1" t="s">
        <v>96</v>
      </c>
      <c r="B10" s="1" t="s">
        <v>10</v>
      </c>
      <c r="C10" s="1">
        <v>38361.9047619048</v>
      </c>
    </row>
    <row r="11" spans="1:9" ht="18" thickBot="1" x14ac:dyDescent="0.3">
      <c r="A11" s="1" t="s">
        <v>97</v>
      </c>
      <c r="B11" s="1" t="s">
        <v>13</v>
      </c>
      <c r="C11" s="1">
        <v>38276.190476190503</v>
      </c>
    </row>
    <row r="12" spans="1:9" ht="18" thickBot="1" x14ac:dyDescent="0.3">
      <c r="A12" s="1" t="s">
        <v>98</v>
      </c>
      <c r="B12" s="1" t="s">
        <v>7</v>
      </c>
      <c r="C12" s="1">
        <v>38190.476190476198</v>
      </c>
    </row>
    <row r="13" spans="1:9" ht="18" thickBot="1" x14ac:dyDescent="0.3">
      <c r="A13" s="1" t="s">
        <v>99</v>
      </c>
      <c r="B13" s="1" t="s">
        <v>13</v>
      </c>
      <c r="C13" s="1">
        <v>38104.761904761901</v>
      </c>
    </row>
    <row r="14" spans="1:9" ht="18" thickBot="1" x14ac:dyDescent="0.3">
      <c r="A14" s="1" t="s">
        <v>94</v>
      </c>
      <c r="B14" s="1" t="s">
        <v>7</v>
      </c>
      <c r="C14" s="1">
        <v>38019.047619047597</v>
      </c>
    </row>
    <row r="15" spans="1:9" ht="18" thickBot="1" x14ac:dyDescent="0.3">
      <c r="A15" s="1" t="s">
        <v>95</v>
      </c>
      <c r="B15" s="1" t="s">
        <v>10</v>
      </c>
      <c r="C15" s="1">
        <v>37933.333333333299</v>
      </c>
    </row>
    <row r="16" spans="1:9" ht="18" thickBot="1" x14ac:dyDescent="0.3">
      <c r="A16" s="1" t="s">
        <v>96</v>
      </c>
      <c r="B16" s="1" t="s">
        <v>10</v>
      </c>
      <c r="C16" s="1">
        <v>37847.619047619097</v>
      </c>
    </row>
    <row r="17" spans="1:3" ht="18" thickBot="1" x14ac:dyDescent="0.3">
      <c r="A17" s="1" t="s">
        <v>97</v>
      </c>
      <c r="B17" s="1" t="s">
        <v>13</v>
      </c>
      <c r="C17" s="1">
        <v>37761.9047619048</v>
      </c>
    </row>
    <row r="18" spans="1:3" ht="18" thickBot="1" x14ac:dyDescent="0.3">
      <c r="A18" s="1" t="s">
        <v>98</v>
      </c>
      <c r="B18" s="1" t="s">
        <v>7</v>
      </c>
      <c r="C18" s="1">
        <v>37676.190476190503</v>
      </c>
    </row>
    <row r="19" spans="1:3" ht="18" thickBot="1" x14ac:dyDescent="0.3">
      <c r="A19" s="1" t="s">
        <v>99</v>
      </c>
      <c r="B19" s="1" t="s">
        <v>13</v>
      </c>
      <c r="C19" s="1">
        <v>37590.476190476198</v>
      </c>
    </row>
    <row r="20" spans="1:3" ht="18" thickBot="1" x14ac:dyDescent="0.3">
      <c r="A20" s="1" t="s">
        <v>94</v>
      </c>
      <c r="B20" s="1" t="s">
        <v>7</v>
      </c>
      <c r="C20" s="1">
        <v>37504.761904761901</v>
      </c>
    </row>
    <row r="21" spans="1:3" ht="18" thickBot="1" x14ac:dyDescent="0.3">
      <c r="A21" s="1" t="s">
        <v>95</v>
      </c>
      <c r="B21" s="1" t="s">
        <v>10</v>
      </c>
      <c r="C21" s="1">
        <v>37419.047619047597</v>
      </c>
    </row>
    <row r="23" spans="1:3" ht="17.25" x14ac:dyDescent="0.25">
      <c r="A23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BAD-67EB-415F-9899-15844F0303E0}">
  <dimension ref="A1:U8"/>
  <sheetViews>
    <sheetView workbookViewId="0">
      <selection activeCell="F16" sqref="F16"/>
    </sheetView>
  </sheetViews>
  <sheetFormatPr defaultRowHeight="15" x14ac:dyDescent="0.25"/>
  <cols>
    <col min="1" max="1" width="17.5703125" bestFit="1" customWidth="1"/>
    <col min="2" max="6" width="7.7109375" bestFit="1" customWidth="1"/>
  </cols>
  <sheetData>
    <row r="1" spans="1:21" ht="18" thickBot="1" x14ac:dyDescent="0.3">
      <c r="A1" s="42" t="s">
        <v>53</v>
      </c>
      <c r="B1" s="42" t="s">
        <v>103</v>
      </c>
      <c r="C1" s="42" t="s">
        <v>104</v>
      </c>
      <c r="D1" s="42" t="s">
        <v>105</v>
      </c>
      <c r="E1" s="42" t="s">
        <v>106</v>
      </c>
      <c r="F1" s="42" t="s">
        <v>107</v>
      </c>
      <c r="G1" s="42" t="s">
        <v>112</v>
      </c>
      <c r="H1" s="42" t="s">
        <v>113</v>
      </c>
      <c r="I1" s="42" t="s">
        <v>114</v>
      </c>
      <c r="J1" s="42" t="s">
        <v>115</v>
      </c>
      <c r="K1" s="42" t="s">
        <v>116</v>
      </c>
      <c r="L1" s="42" t="s">
        <v>117</v>
      </c>
      <c r="M1" s="42" t="s">
        <v>118</v>
      </c>
      <c r="N1" s="42" t="s">
        <v>119</v>
      </c>
      <c r="O1" s="42" t="s">
        <v>120</v>
      </c>
      <c r="P1" s="42" t="s">
        <v>121</v>
      </c>
      <c r="Q1" s="42" t="s">
        <v>122</v>
      </c>
      <c r="R1" s="42" t="s">
        <v>123</v>
      </c>
      <c r="S1" s="42" t="s">
        <v>124</v>
      </c>
      <c r="T1" s="42" t="s">
        <v>125</v>
      </c>
      <c r="U1" s="42" t="s">
        <v>126</v>
      </c>
    </row>
    <row r="2" spans="1:21" ht="18" thickBot="1" x14ac:dyDescent="0.3">
      <c r="A2" s="1" t="s">
        <v>58</v>
      </c>
      <c r="B2" s="1" t="s">
        <v>108</v>
      </c>
      <c r="C2" s="1" t="s">
        <v>109</v>
      </c>
      <c r="D2" s="1" t="s">
        <v>108</v>
      </c>
      <c r="E2" s="1" t="s">
        <v>108</v>
      </c>
      <c r="F2" s="1" t="s">
        <v>108</v>
      </c>
      <c r="G2" s="1" t="s">
        <v>108</v>
      </c>
      <c r="H2" s="1" t="s">
        <v>109</v>
      </c>
      <c r="I2" s="1" t="s">
        <v>108</v>
      </c>
      <c r="J2" s="1" t="s">
        <v>108</v>
      </c>
      <c r="K2" s="1" t="s">
        <v>108</v>
      </c>
      <c r="L2" s="1" t="s">
        <v>108</v>
      </c>
      <c r="M2" s="1" t="s">
        <v>109</v>
      </c>
      <c r="N2" s="1" t="s">
        <v>108</v>
      </c>
      <c r="O2" s="1" t="s">
        <v>108</v>
      </c>
      <c r="P2" s="1" t="s">
        <v>108</v>
      </c>
      <c r="Q2" s="1" t="s">
        <v>108</v>
      </c>
      <c r="R2" s="1" t="s">
        <v>109</v>
      </c>
      <c r="S2" s="1" t="s">
        <v>108</v>
      </c>
      <c r="T2" s="1" t="s">
        <v>108</v>
      </c>
      <c r="U2" s="1" t="s">
        <v>108</v>
      </c>
    </row>
    <row r="3" spans="1:21" ht="18" thickBot="1" x14ac:dyDescent="0.3">
      <c r="A3" s="1" t="s">
        <v>59</v>
      </c>
      <c r="B3" s="1" t="s">
        <v>108</v>
      </c>
      <c r="C3" s="1" t="s">
        <v>108</v>
      </c>
      <c r="D3" s="1" t="s">
        <v>108</v>
      </c>
      <c r="E3" s="1" t="s">
        <v>109</v>
      </c>
      <c r="F3" s="1" t="s">
        <v>108</v>
      </c>
      <c r="G3" s="1" t="s">
        <v>108</v>
      </c>
      <c r="H3" s="1" t="s">
        <v>108</v>
      </c>
      <c r="I3" s="1" t="s">
        <v>108</v>
      </c>
      <c r="J3" s="1" t="s">
        <v>109</v>
      </c>
      <c r="K3" s="1" t="s">
        <v>108</v>
      </c>
      <c r="L3" s="1" t="s">
        <v>108</v>
      </c>
      <c r="M3" s="1" t="s">
        <v>108</v>
      </c>
      <c r="N3" s="1" t="s">
        <v>108</v>
      </c>
      <c r="O3" s="1" t="s">
        <v>109</v>
      </c>
      <c r="P3" s="1" t="s">
        <v>108</v>
      </c>
      <c r="Q3" s="1" t="s">
        <v>108</v>
      </c>
      <c r="R3" s="1" t="s">
        <v>108</v>
      </c>
      <c r="S3" s="1" t="s">
        <v>108</v>
      </c>
      <c r="T3" s="1" t="s">
        <v>109</v>
      </c>
      <c r="U3" s="1" t="s">
        <v>108</v>
      </c>
    </row>
    <row r="4" spans="1:21" ht="18" thickBot="1" x14ac:dyDescent="0.3">
      <c r="A4" s="1" t="s">
        <v>60</v>
      </c>
      <c r="B4" s="1" t="s">
        <v>109</v>
      </c>
      <c r="C4" s="1" t="s">
        <v>108</v>
      </c>
      <c r="D4" s="1" t="s">
        <v>108</v>
      </c>
      <c r="E4" s="1" t="s">
        <v>108</v>
      </c>
      <c r="F4" s="1" t="s">
        <v>108</v>
      </c>
      <c r="G4" s="1" t="s">
        <v>109</v>
      </c>
      <c r="H4" s="1" t="s">
        <v>108</v>
      </c>
      <c r="I4" s="1" t="s">
        <v>108</v>
      </c>
      <c r="J4" s="1" t="s">
        <v>108</v>
      </c>
      <c r="K4" s="1" t="s">
        <v>108</v>
      </c>
      <c r="L4" s="1" t="s">
        <v>109</v>
      </c>
      <c r="M4" s="1" t="s">
        <v>108</v>
      </c>
      <c r="N4" s="1" t="s">
        <v>108</v>
      </c>
      <c r="O4" s="1" t="s">
        <v>108</v>
      </c>
      <c r="P4" s="1" t="s">
        <v>108</v>
      </c>
      <c r="Q4" s="1" t="s">
        <v>109</v>
      </c>
      <c r="R4" s="1" t="s">
        <v>108</v>
      </c>
      <c r="S4" s="1" t="s">
        <v>108</v>
      </c>
      <c r="T4" s="1" t="s">
        <v>108</v>
      </c>
      <c r="U4" s="1" t="s">
        <v>108</v>
      </c>
    </row>
    <row r="5" spans="1:21" ht="18" thickBot="1" x14ac:dyDescent="0.3">
      <c r="A5" s="1" t="s">
        <v>61</v>
      </c>
      <c r="B5" s="1" t="s">
        <v>108</v>
      </c>
      <c r="C5" s="1" t="s">
        <v>109</v>
      </c>
      <c r="D5" s="1" t="s">
        <v>109</v>
      </c>
      <c r="E5" s="1" t="s">
        <v>108</v>
      </c>
      <c r="F5" s="1" t="s">
        <v>109</v>
      </c>
      <c r="G5" s="1" t="s">
        <v>108</v>
      </c>
      <c r="H5" s="1" t="s">
        <v>109</v>
      </c>
      <c r="I5" s="1" t="s">
        <v>109</v>
      </c>
      <c r="J5" s="1" t="s">
        <v>108</v>
      </c>
      <c r="K5" s="1" t="s">
        <v>109</v>
      </c>
      <c r="L5" s="1" t="s">
        <v>108</v>
      </c>
      <c r="M5" s="1" t="s">
        <v>109</v>
      </c>
      <c r="N5" s="1" t="s">
        <v>109</v>
      </c>
      <c r="O5" s="1" t="s">
        <v>108</v>
      </c>
      <c r="P5" s="1" t="s">
        <v>109</v>
      </c>
      <c r="Q5" s="1" t="s">
        <v>108</v>
      </c>
      <c r="R5" s="1" t="s">
        <v>109</v>
      </c>
      <c r="S5" s="1" t="s">
        <v>109</v>
      </c>
      <c r="T5" s="1" t="s">
        <v>108</v>
      </c>
      <c r="U5" s="1" t="s">
        <v>109</v>
      </c>
    </row>
    <row r="7" spans="1:21" ht="17.25" x14ac:dyDescent="0.25">
      <c r="A7" s="48" t="s">
        <v>110</v>
      </c>
      <c r="B7" s="49">
        <f>COUNTIF(B2:U5,"P")</f>
        <v>56</v>
      </c>
    </row>
    <row r="8" spans="1:21" ht="17.25" x14ac:dyDescent="0.25">
      <c r="A8" s="48" t="s">
        <v>111</v>
      </c>
      <c r="B8" s="49">
        <f>COUNTIF(B2:U5,"A")</f>
        <v>24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CFEBE-F076-49EB-ADB1-F9B099FDA2BD}">
  <dimension ref="A1:D21"/>
  <sheetViews>
    <sheetView workbookViewId="0">
      <selection activeCell="D8" sqref="D8"/>
    </sheetView>
  </sheetViews>
  <sheetFormatPr defaultRowHeight="15" x14ac:dyDescent="0.25"/>
  <cols>
    <col min="1" max="1" width="11" bestFit="1" customWidth="1"/>
    <col min="2" max="2" width="16.85546875" bestFit="1" customWidth="1"/>
    <col min="3" max="3" width="28.140625" bestFit="1" customWidth="1"/>
  </cols>
  <sheetData>
    <row r="1" spans="1:4" ht="18" thickBot="1" x14ac:dyDescent="0.3">
      <c r="A1" s="60" t="s">
        <v>127</v>
      </c>
      <c r="B1" s="60" t="s">
        <v>37</v>
      </c>
    </row>
    <row r="2" spans="1:4" ht="35.25" thickBot="1" x14ac:dyDescent="0.3">
      <c r="A2" s="1" t="s">
        <v>128</v>
      </c>
      <c r="B2" s="61">
        <v>4500</v>
      </c>
      <c r="C2" s="62" t="s">
        <v>134</v>
      </c>
      <c r="D2" s="63">
        <f>COUNTIF(B2:B21,"&gt;10000")</f>
        <v>10</v>
      </c>
    </row>
    <row r="3" spans="1:4" ht="35.25" thickBot="1" x14ac:dyDescent="0.3">
      <c r="A3" s="1" t="s">
        <v>129</v>
      </c>
      <c r="B3" s="61">
        <v>12000</v>
      </c>
      <c r="C3" s="62" t="s">
        <v>135</v>
      </c>
      <c r="D3" s="63">
        <f>COUNTIF(B2:B21,"&lt;5000")</f>
        <v>7</v>
      </c>
    </row>
    <row r="4" spans="1:4" ht="18" thickBot="1" x14ac:dyDescent="0.3">
      <c r="A4" s="1" t="s">
        <v>130</v>
      </c>
      <c r="B4" s="1">
        <v>8000</v>
      </c>
    </row>
    <row r="5" spans="1:4" ht="18" thickBot="1" x14ac:dyDescent="0.3">
      <c r="A5" s="1" t="s">
        <v>131</v>
      </c>
      <c r="B5" s="1">
        <v>25000</v>
      </c>
    </row>
    <row r="6" spans="1:4" ht="18" thickBot="1" x14ac:dyDescent="0.3">
      <c r="A6" s="1" t="s">
        <v>132</v>
      </c>
      <c r="B6" s="1">
        <v>3000</v>
      </c>
    </row>
    <row r="7" spans="1:4" ht="18" thickBot="1" x14ac:dyDescent="0.3">
      <c r="A7" s="1" t="s">
        <v>133</v>
      </c>
      <c r="B7" s="1">
        <v>15000</v>
      </c>
    </row>
    <row r="8" spans="1:4" ht="18" thickBot="1" x14ac:dyDescent="0.3">
      <c r="A8" s="1" t="s">
        <v>128</v>
      </c>
      <c r="B8" s="1">
        <v>4500</v>
      </c>
    </row>
    <row r="9" spans="1:4" ht="18" thickBot="1" x14ac:dyDescent="0.3">
      <c r="A9" s="1" t="s">
        <v>129</v>
      </c>
      <c r="B9" s="1">
        <v>12000</v>
      </c>
    </row>
    <row r="10" spans="1:4" ht="18" thickBot="1" x14ac:dyDescent="0.3">
      <c r="A10" s="1" t="s">
        <v>130</v>
      </c>
      <c r="B10" s="1">
        <v>8000</v>
      </c>
    </row>
    <row r="11" spans="1:4" ht="18" thickBot="1" x14ac:dyDescent="0.3">
      <c r="A11" s="1" t="s">
        <v>131</v>
      </c>
      <c r="B11" s="1">
        <v>25000</v>
      </c>
    </row>
    <row r="12" spans="1:4" ht="18" thickBot="1" x14ac:dyDescent="0.3">
      <c r="A12" s="1" t="s">
        <v>132</v>
      </c>
      <c r="B12" s="1">
        <v>3000</v>
      </c>
    </row>
    <row r="13" spans="1:4" ht="18" thickBot="1" x14ac:dyDescent="0.3">
      <c r="A13" s="1" t="s">
        <v>133</v>
      </c>
      <c r="B13" s="1">
        <v>15000</v>
      </c>
    </row>
    <row r="14" spans="1:4" ht="18" thickBot="1" x14ac:dyDescent="0.3">
      <c r="A14" s="1" t="s">
        <v>128</v>
      </c>
      <c r="B14" s="1">
        <v>4500</v>
      </c>
    </row>
    <row r="15" spans="1:4" ht="18" thickBot="1" x14ac:dyDescent="0.3">
      <c r="A15" s="1" t="s">
        <v>129</v>
      </c>
      <c r="B15" s="1">
        <v>12000</v>
      </c>
    </row>
    <row r="16" spans="1:4" ht="18" thickBot="1" x14ac:dyDescent="0.3">
      <c r="A16" s="1" t="s">
        <v>130</v>
      </c>
      <c r="B16" s="1">
        <v>8000</v>
      </c>
    </row>
    <row r="17" spans="1:2" ht="18" thickBot="1" x14ac:dyDescent="0.3">
      <c r="A17" s="1" t="s">
        <v>131</v>
      </c>
      <c r="B17" s="1">
        <v>25000</v>
      </c>
    </row>
    <row r="18" spans="1:2" ht="18" thickBot="1" x14ac:dyDescent="0.3">
      <c r="A18" s="1" t="s">
        <v>132</v>
      </c>
      <c r="B18" s="1">
        <v>3000</v>
      </c>
    </row>
    <row r="19" spans="1:2" ht="18" thickBot="1" x14ac:dyDescent="0.3">
      <c r="A19" s="1" t="s">
        <v>133</v>
      </c>
      <c r="B19" s="1">
        <v>15000</v>
      </c>
    </row>
    <row r="20" spans="1:2" ht="18" thickBot="1" x14ac:dyDescent="0.3">
      <c r="A20" s="1" t="s">
        <v>128</v>
      </c>
      <c r="B20" s="1">
        <v>4500</v>
      </c>
    </row>
    <row r="21" spans="1:2" ht="18" thickBot="1" x14ac:dyDescent="0.3">
      <c r="A21" s="1" t="s">
        <v>129</v>
      </c>
      <c r="B21" s="1">
        <v>12000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FCAE-85C2-4F94-A053-D218ED8DF920}">
  <dimension ref="A1:G21"/>
  <sheetViews>
    <sheetView workbookViewId="0">
      <selection activeCell="G9" sqref="G9"/>
    </sheetView>
  </sheetViews>
  <sheetFormatPr defaultRowHeight="15" x14ac:dyDescent="0.25"/>
  <cols>
    <col min="1" max="1" width="15.140625" style="66" bestFit="1" customWidth="1"/>
    <col min="2" max="2" width="16.85546875" style="66" bestFit="1" customWidth="1"/>
  </cols>
  <sheetData>
    <row r="1" spans="1:7" ht="18" thickBot="1" x14ac:dyDescent="0.3">
      <c r="A1" s="72" t="s">
        <v>136</v>
      </c>
      <c r="B1" s="73" t="s">
        <v>37</v>
      </c>
    </row>
    <row r="2" spans="1:7" ht="17.25" x14ac:dyDescent="0.25">
      <c r="A2" s="67" t="s">
        <v>137</v>
      </c>
      <c r="B2" s="68">
        <v>22000</v>
      </c>
      <c r="D2" s="74" t="s">
        <v>142</v>
      </c>
      <c r="E2" s="75"/>
      <c r="F2" s="75"/>
      <c r="G2" s="78">
        <f>COUNTIF(B2:B21,"&gt;20000")</f>
        <v>8</v>
      </c>
    </row>
    <row r="3" spans="1:7" ht="18" thickBot="1" x14ac:dyDescent="0.3">
      <c r="A3" s="67" t="s">
        <v>138</v>
      </c>
      <c r="B3" s="68">
        <v>3500</v>
      </c>
      <c r="D3" s="76" t="s">
        <v>143</v>
      </c>
      <c r="E3" s="77"/>
      <c r="F3" s="77"/>
      <c r="G3" s="79">
        <f>COUNTIF(B2:B21,"&lt;5000")</f>
        <v>8</v>
      </c>
    </row>
    <row r="4" spans="1:7" ht="17.25" x14ac:dyDescent="0.25">
      <c r="A4" s="67" t="s">
        <v>139</v>
      </c>
      <c r="B4" s="68">
        <v>58000</v>
      </c>
    </row>
    <row r="5" spans="1:7" ht="17.25" x14ac:dyDescent="0.25">
      <c r="A5" s="67" t="s">
        <v>140</v>
      </c>
      <c r="B5" s="68">
        <v>1800</v>
      </c>
    </row>
    <row r="6" spans="1:7" ht="17.25" x14ac:dyDescent="0.25">
      <c r="A6" s="67" t="s">
        <v>141</v>
      </c>
      <c r="B6" s="68">
        <v>12000</v>
      </c>
    </row>
    <row r="7" spans="1:7" ht="17.25" x14ac:dyDescent="0.25">
      <c r="A7" s="67" t="s">
        <v>137</v>
      </c>
      <c r="B7" s="68">
        <v>22000</v>
      </c>
    </row>
    <row r="8" spans="1:7" ht="17.25" x14ac:dyDescent="0.25">
      <c r="A8" s="67" t="s">
        <v>138</v>
      </c>
      <c r="B8" s="68">
        <v>3500</v>
      </c>
    </row>
    <row r="9" spans="1:7" ht="17.25" x14ac:dyDescent="0.25">
      <c r="A9" s="67" t="s">
        <v>139</v>
      </c>
      <c r="B9" s="68">
        <v>58000</v>
      </c>
    </row>
    <row r="10" spans="1:7" ht="17.25" x14ac:dyDescent="0.25">
      <c r="A10" s="67" t="s">
        <v>140</v>
      </c>
      <c r="B10" s="68">
        <v>1800</v>
      </c>
    </row>
    <row r="11" spans="1:7" ht="17.25" x14ac:dyDescent="0.25">
      <c r="A11" s="67" t="s">
        <v>141</v>
      </c>
      <c r="B11" s="68">
        <v>12000</v>
      </c>
    </row>
    <row r="12" spans="1:7" ht="17.25" x14ac:dyDescent="0.25">
      <c r="A12" s="67" t="s">
        <v>137</v>
      </c>
      <c r="B12" s="68">
        <v>22000</v>
      </c>
    </row>
    <row r="13" spans="1:7" ht="17.25" x14ac:dyDescent="0.25">
      <c r="A13" s="67" t="s">
        <v>138</v>
      </c>
      <c r="B13" s="68">
        <v>3500</v>
      </c>
    </row>
    <row r="14" spans="1:7" ht="17.25" x14ac:dyDescent="0.25">
      <c r="A14" s="67" t="s">
        <v>139</v>
      </c>
      <c r="B14" s="68">
        <v>58000</v>
      </c>
    </row>
    <row r="15" spans="1:7" ht="17.25" x14ac:dyDescent="0.25">
      <c r="A15" s="67" t="s">
        <v>140</v>
      </c>
      <c r="B15" s="68">
        <v>1800</v>
      </c>
    </row>
    <row r="16" spans="1:7" ht="17.25" x14ac:dyDescent="0.25">
      <c r="A16" s="67" t="s">
        <v>141</v>
      </c>
      <c r="B16" s="68">
        <v>12000</v>
      </c>
    </row>
    <row r="17" spans="1:2" ht="17.25" x14ac:dyDescent="0.25">
      <c r="A17" s="67" t="s">
        <v>137</v>
      </c>
      <c r="B17" s="68">
        <v>22000</v>
      </c>
    </row>
    <row r="18" spans="1:2" ht="17.25" x14ac:dyDescent="0.25">
      <c r="A18" s="67" t="s">
        <v>138</v>
      </c>
      <c r="B18" s="68">
        <v>3500</v>
      </c>
    </row>
    <row r="19" spans="1:2" ht="17.25" x14ac:dyDescent="0.25">
      <c r="A19" s="67" t="s">
        <v>139</v>
      </c>
      <c r="B19" s="68">
        <v>58000</v>
      </c>
    </row>
    <row r="20" spans="1:2" ht="17.25" x14ac:dyDescent="0.25">
      <c r="A20" s="67" t="s">
        <v>140</v>
      </c>
      <c r="B20" s="68">
        <v>1800</v>
      </c>
    </row>
    <row r="21" spans="1:2" ht="18" thickBot="1" x14ac:dyDescent="0.3">
      <c r="A21" s="69" t="s">
        <v>141</v>
      </c>
      <c r="B21" s="68">
        <v>12000</v>
      </c>
    </row>
  </sheetData>
  <mergeCells count="2">
    <mergeCell ref="D2:F2"/>
    <mergeCell ref="D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0D73-D7EF-4256-AD81-A964CE2B759C}">
  <dimension ref="A1:G21"/>
  <sheetViews>
    <sheetView workbookViewId="0">
      <selection activeCell="H7" sqref="H7"/>
    </sheetView>
  </sheetViews>
  <sheetFormatPr defaultRowHeight="15" x14ac:dyDescent="0.25"/>
  <cols>
    <col min="1" max="1" width="9.7109375" bestFit="1" customWidth="1"/>
    <col min="2" max="2" width="9.5703125" bestFit="1" customWidth="1"/>
    <col min="3" max="3" width="8.140625" bestFit="1" customWidth="1"/>
  </cols>
  <sheetData>
    <row r="1" spans="1:7" ht="18" thickBot="1" x14ac:dyDescent="0.3">
      <c r="A1" s="80" t="s">
        <v>52</v>
      </c>
      <c r="B1" s="80" t="s">
        <v>1</v>
      </c>
      <c r="C1" s="80" t="s">
        <v>144</v>
      </c>
    </row>
    <row r="2" spans="1:7" ht="18" thickBot="1" x14ac:dyDescent="0.3">
      <c r="A2" s="65">
        <v>1</v>
      </c>
      <c r="B2" s="65" t="s">
        <v>98</v>
      </c>
      <c r="C2" s="65">
        <v>85</v>
      </c>
      <c r="E2" s="81" t="s">
        <v>149</v>
      </c>
      <c r="F2" s="82"/>
      <c r="G2" s="83">
        <f>COUNTIF(C2:C21,"&gt;=75")</f>
        <v>8</v>
      </c>
    </row>
    <row r="3" spans="1:7" ht="18" thickBot="1" x14ac:dyDescent="0.3">
      <c r="A3" s="65">
        <v>2</v>
      </c>
      <c r="B3" s="65" t="s">
        <v>145</v>
      </c>
      <c r="C3" s="65">
        <v>72</v>
      </c>
      <c r="E3" s="84" t="s">
        <v>150</v>
      </c>
      <c r="F3" s="85"/>
      <c r="G3" s="86">
        <f>COUNTIF(C2:C21,"&lt;40")</f>
        <v>8</v>
      </c>
    </row>
    <row r="4" spans="1:7" ht="18" thickBot="1" x14ac:dyDescent="0.3">
      <c r="A4" s="65">
        <v>3</v>
      </c>
      <c r="B4" s="65" t="s">
        <v>146</v>
      </c>
      <c r="C4" s="65">
        <v>39</v>
      </c>
    </row>
    <row r="5" spans="1:7" ht="18" thickBot="1" x14ac:dyDescent="0.3">
      <c r="A5" s="65">
        <v>4</v>
      </c>
      <c r="B5" s="65" t="s">
        <v>147</v>
      </c>
      <c r="C5" s="65">
        <v>91</v>
      </c>
    </row>
    <row r="6" spans="1:7" ht="18" thickBot="1" x14ac:dyDescent="0.3">
      <c r="A6" s="65">
        <v>5</v>
      </c>
      <c r="B6" s="65" t="s">
        <v>148</v>
      </c>
      <c r="C6" s="65">
        <v>28</v>
      </c>
    </row>
    <row r="7" spans="1:7" ht="18" thickBot="1" x14ac:dyDescent="0.3">
      <c r="A7" s="65">
        <v>6</v>
      </c>
      <c r="B7" s="65" t="s">
        <v>98</v>
      </c>
      <c r="C7" s="65">
        <v>85</v>
      </c>
    </row>
    <row r="8" spans="1:7" ht="18" thickBot="1" x14ac:dyDescent="0.3">
      <c r="A8" s="65">
        <v>7</v>
      </c>
      <c r="B8" s="65" t="s">
        <v>145</v>
      </c>
      <c r="C8" s="65">
        <v>72</v>
      </c>
    </row>
    <row r="9" spans="1:7" ht="18" thickBot="1" x14ac:dyDescent="0.3">
      <c r="A9" s="65">
        <v>8</v>
      </c>
      <c r="B9" s="65" t="s">
        <v>146</v>
      </c>
      <c r="C9" s="65">
        <v>39</v>
      </c>
    </row>
    <row r="10" spans="1:7" ht="18" thickBot="1" x14ac:dyDescent="0.3">
      <c r="A10" s="65">
        <v>9</v>
      </c>
      <c r="B10" s="65" t="s">
        <v>147</v>
      </c>
      <c r="C10" s="65">
        <v>91</v>
      </c>
    </row>
    <row r="11" spans="1:7" ht="18" thickBot="1" x14ac:dyDescent="0.3">
      <c r="A11" s="65">
        <v>10</v>
      </c>
      <c r="B11" s="65" t="s">
        <v>148</v>
      </c>
      <c r="C11" s="65">
        <v>28</v>
      </c>
    </row>
    <row r="12" spans="1:7" ht="18" thickBot="1" x14ac:dyDescent="0.3">
      <c r="A12" s="65">
        <v>11</v>
      </c>
      <c r="B12" s="65" t="s">
        <v>98</v>
      </c>
      <c r="C12" s="65">
        <v>85</v>
      </c>
    </row>
    <row r="13" spans="1:7" ht="18" thickBot="1" x14ac:dyDescent="0.3">
      <c r="A13" s="65">
        <v>12</v>
      </c>
      <c r="B13" s="65" t="s">
        <v>145</v>
      </c>
      <c r="C13" s="65">
        <v>72</v>
      </c>
    </row>
    <row r="14" spans="1:7" ht="18" thickBot="1" x14ac:dyDescent="0.3">
      <c r="A14" s="65">
        <v>13</v>
      </c>
      <c r="B14" s="65" t="s">
        <v>146</v>
      </c>
      <c r="C14" s="65">
        <v>39</v>
      </c>
    </row>
    <row r="15" spans="1:7" ht="18" thickBot="1" x14ac:dyDescent="0.3">
      <c r="A15" s="65">
        <v>14</v>
      </c>
      <c r="B15" s="65" t="s">
        <v>147</v>
      </c>
      <c r="C15" s="65">
        <v>91</v>
      </c>
    </row>
    <row r="16" spans="1:7" ht="18" thickBot="1" x14ac:dyDescent="0.3">
      <c r="A16" s="65">
        <v>15</v>
      </c>
      <c r="B16" s="65" t="s">
        <v>148</v>
      </c>
      <c r="C16" s="65">
        <v>28</v>
      </c>
    </row>
    <row r="17" spans="1:3" ht="18" thickBot="1" x14ac:dyDescent="0.3">
      <c r="A17" s="65">
        <v>16</v>
      </c>
      <c r="B17" s="65" t="s">
        <v>98</v>
      </c>
      <c r="C17" s="65">
        <v>85</v>
      </c>
    </row>
    <row r="18" spans="1:3" ht="18" thickBot="1" x14ac:dyDescent="0.3">
      <c r="A18" s="65">
        <v>17</v>
      </c>
      <c r="B18" s="65" t="s">
        <v>145</v>
      </c>
      <c r="C18" s="65">
        <v>72</v>
      </c>
    </row>
    <row r="19" spans="1:3" ht="18" thickBot="1" x14ac:dyDescent="0.3">
      <c r="A19" s="65">
        <v>18</v>
      </c>
      <c r="B19" s="65" t="s">
        <v>146</v>
      </c>
      <c r="C19" s="65">
        <v>39</v>
      </c>
    </row>
    <row r="20" spans="1:3" ht="18" thickBot="1" x14ac:dyDescent="0.3">
      <c r="A20" s="65">
        <v>19</v>
      </c>
      <c r="B20" s="65" t="s">
        <v>147</v>
      </c>
      <c r="C20" s="65">
        <v>91</v>
      </c>
    </row>
    <row r="21" spans="1:3" ht="18" thickBot="1" x14ac:dyDescent="0.3">
      <c r="A21" s="65">
        <v>20</v>
      </c>
      <c r="B21" s="65" t="s">
        <v>148</v>
      </c>
      <c r="C21" s="65">
        <v>28</v>
      </c>
    </row>
  </sheetData>
  <mergeCells count="2">
    <mergeCell ref="E2:F2"/>
    <mergeCell ref="E3:F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63456-8734-4DB9-BA5B-365DEF813495}">
  <dimension ref="A1:F21"/>
  <sheetViews>
    <sheetView workbookViewId="0">
      <selection activeCell="L17" sqref="L17"/>
    </sheetView>
  </sheetViews>
  <sheetFormatPr defaultRowHeight="15" x14ac:dyDescent="0.25"/>
  <cols>
    <col min="1" max="1" width="19.7109375" bestFit="1" customWidth="1"/>
    <col min="2" max="2" width="9" bestFit="1" customWidth="1"/>
  </cols>
  <sheetData>
    <row r="1" spans="1:6" ht="35.25" thickBot="1" x14ac:dyDescent="0.3">
      <c r="A1" s="64" t="s">
        <v>93</v>
      </c>
      <c r="B1" s="64" t="s">
        <v>3</v>
      </c>
    </row>
    <row r="2" spans="1:6" ht="18" thickBot="1" x14ac:dyDescent="0.3">
      <c r="A2" s="65" t="s">
        <v>151</v>
      </c>
      <c r="B2" s="65">
        <v>28000</v>
      </c>
    </row>
    <row r="3" spans="1:6" ht="18" thickBot="1" x14ac:dyDescent="0.3">
      <c r="A3" s="65" t="s">
        <v>152</v>
      </c>
      <c r="B3" s="65">
        <v>34000</v>
      </c>
    </row>
    <row r="4" spans="1:6" ht="18" thickBot="1" x14ac:dyDescent="0.3">
      <c r="A4" s="65" t="s">
        <v>153</v>
      </c>
      <c r="B4" s="65">
        <v>51000</v>
      </c>
    </row>
    <row r="5" spans="1:6" ht="18" thickBot="1" x14ac:dyDescent="0.3">
      <c r="A5" s="65" t="s">
        <v>154</v>
      </c>
      <c r="B5" s="65">
        <v>47000</v>
      </c>
      <c r="D5" s="70" t="s">
        <v>156</v>
      </c>
      <c r="E5" s="70"/>
      <c r="F5" s="70"/>
    </row>
    <row r="6" spans="1:6" ht="18" thickBot="1" x14ac:dyDescent="0.3">
      <c r="A6" s="65" t="s">
        <v>155</v>
      </c>
      <c r="B6" s="65">
        <v>29000</v>
      </c>
      <c r="D6" s="70" t="s">
        <v>157</v>
      </c>
      <c r="E6" s="70"/>
      <c r="F6" s="70"/>
    </row>
    <row r="7" spans="1:6" ht="18" thickBot="1" x14ac:dyDescent="0.3">
      <c r="A7" s="65" t="s">
        <v>151</v>
      </c>
      <c r="B7" s="65">
        <v>42300</v>
      </c>
      <c r="D7" s="70" t="s">
        <v>158</v>
      </c>
      <c r="E7" s="70"/>
      <c r="F7" s="70"/>
    </row>
    <row r="8" spans="1:6" ht="18" thickBot="1" x14ac:dyDescent="0.3">
      <c r="A8" s="65" t="s">
        <v>152</v>
      </c>
      <c r="B8" s="65">
        <v>43800</v>
      </c>
    </row>
    <row r="9" spans="1:6" ht="18" thickBot="1" x14ac:dyDescent="0.3">
      <c r="A9" s="65" t="s">
        <v>153</v>
      </c>
      <c r="B9" s="65">
        <v>45300</v>
      </c>
    </row>
    <row r="10" spans="1:6" ht="18" thickBot="1" x14ac:dyDescent="0.3">
      <c r="A10" s="65" t="s">
        <v>154</v>
      </c>
      <c r="B10" s="65">
        <v>46800</v>
      </c>
    </row>
    <row r="11" spans="1:6" ht="18" thickBot="1" x14ac:dyDescent="0.3">
      <c r="A11" s="65" t="s">
        <v>155</v>
      </c>
      <c r="B11" s="65">
        <v>48300</v>
      </c>
    </row>
    <row r="12" spans="1:6" ht="18" thickBot="1" x14ac:dyDescent="0.3">
      <c r="A12" s="65" t="s">
        <v>151</v>
      </c>
      <c r="B12" s="65">
        <v>49800</v>
      </c>
    </row>
    <row r="13" spans="1:6" ht="18" thickBot="1" x14ac:dyDescent="0.3">
      <c r="A13" s="65" t="s">
        <v>152</v>
      </c>
      <c r="B13" s="65">
        <v>51300</v>
      </c>
    </row>
    <row r="14" spans="1:6" ht="18" thickBot="1" x14ac:dyDescent="0.3">
      <c r="A14" s="65" t="s">
        <v>153</v>
      </c>
      <c r="B14" s="65">
        <v>52800</v>
      </c>
    </row>
    <row r="15" spans="1:6" ht="18" thickBot="1" x14ac:dyDescent="0.3">
      <c r="A15" s="65" t="s">
        <v>154</v>
      </c>
      <c r="B15" s="65">
        <v>54300</v>
      </c>
    </row>
    <row r="16" spans="1:6" ht="18" thickBot="1" x14ac:dyDescent="0.3">
      <c r="A16" s="65" t="s">
        <v>155</v>
      </c>
      <c r="B16" s="65">
        <v>55800</v>
      </c>
    </row>
    <row r="17" spans="1:2" ht="18" thickBot="1" x14ac:dyDescent="0.3">
      <c r="A17" s="65" t="s">
        <v>151</v>
      </c>
      <c r="B17" s="65">
        <v>57300</v>
      </c>
    </row>
    <row r="18" spans="1:2" ht="18" thickBot="1" x14ac:dyDescent="0.3">
      <c r="A18" s="65" t="s">
        <v>152</v>
      </c>
      <c r="B18" s="65">
        <v>58800</v>
      </c>
    </row>
    <row r="19" spans="1:2" ht="18" thickBot="1" x14ac:dyDescent="0.3">
      <c r="A19" s="65" t="s">
        <v>153</v>
      </c>
      <c r="B19" s="65">
        <v>60300</v>
      </c>
    </row>
    <row r="20" spans="1:2" ht="18" thickBot="1" x14ac:dyDescent="0.3">
      <c r="A20" s="65" t="s">
        <v>154</v>
      </c>
      <c r="B20" s="65">
        <v>61800</v>
      </c>
    </row>
    <row r="21" spans="1:2" ht="18" thickBot="1" x14ac:dyDescent="0.3">
      <c r="A21" s="65" t="s">
        <v>155</v>
      </c>
      <c r="B21" s="65">
        <v>63300</v>
      </c>
    </row>
  </sheetData>
  <mergeCells count="3">
    <mergeCell ref="D5:F5"/>
    <mergeCell ref="D6:F6"/>
    <mergeCell ref="D7:F7"/>
  </mergeCells>
  <conditionalFormatting sqref="J9">
    <cfRule type="cellIs" dxfId="2" priority="5" operator="greaterThan">
      <formula>"&gt;=50000"</formula>
    </cfRule>
  </conditionalFormatting>
  <conditionalFormatting sqref="B2:B21">
    <cfRule type="cellIs" dxfId="1" priority="3" operator="greaterThan">
      <formula>50000</formula>
    </cfRule>
    <cfRule type="cellIs" dxfId="0" priority="4" operator="greaterThan">
      <formula>45650</formula>
    </cfRule>
  </conditionalFormatting>
  <conditionalFormatting sqref="E15">
    <cfRule type="cellIs" priority="1" operator="greaterThanOrEqual">
      <formula>"50000+$B$2:$B$21"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6D8FB-0473-46DD-B18D-959A18068850}">
  <dimension ref="A1:D6"/>
  <sheetViews>
    <sheetView workbookViewId="0">
      <selection activeCell="D2" sqref="D2"/>
    </sheetView>
  </sheetViews>
  <sheetFormatPr defaultRowHeight="15" x14ac:dyDescent="0.25"/>
  <cols>
    <col min="1" max="1" width="13.140625" bestFit="1" customWidth="1"/>
    <col min="2" max="2" width="15.5703125" bestFit="1" customWidth="1"/>
    <col min="3" max="3" width="11.28515625" bestFit="1" customWidth="1"/>
    <col min="4" max="4" width="19.5703125" bestFit="1" customWidth="1"/>
  </cols>
  <sheetData>
    <row r="1" spans="1:4" x14ac:dyDescent="0.25">
      <c r="A1" s="87" t="s">
        <v>159</v>
      </c>
      <c r="B1" s="88" t="s">
        <v>160</v>
      </c>
      <c r="C1" s="88" t="s">
        <v>161</v>
      </c>
      <c r="D1" s="71" t="s">
        <v>162</v>
      </c>
    </row>
    <row r="2" spans="1:4" x14ac:dyDescent="0.25">
      <c r="A2" s="89" t="s">
        <v>163</v>
      </c>
      <c r="B2" s="5">
        <v>45</v>
      </c>
      <c r="C2" s="5">
        <v>92</v>
      </c>
      <c r="D2" s="90" t="str">
        <f>IF(AND(C2&gt;=90,B2&gt;=40),"Excellent",IF(C2&gt;=80,"Good","Needs Improvement"))</f>
        <v>Excellent</v>
      </c>
    </row>
    <row r="3" spans="1:4" x14ac:dyDescent="0.25">
      <c r="A3" s="89" t="s">
        <v>164</v>
      </c>
      <c r="B3" s="5">
        <v>38</v>
      </c>
      <c r="C3" s="5">
        <v>85</v>
      </c>
      <c r="D3" s="90" t="str">
        <f t="shared" ref="D3:D6" si="0">IF(AND(C3&gt;=90,B3&gt;=40),"Excellent",IF(C3&gt;=80,"Good","Needs Improvement"))</f>
        <v>Good</v>
      </c>
    </row>
    <row r="4" spans="1:4" x14ac:dyDescent="0.25">
      <c r="A4" s="89" t="s">
        <v>165</v>
      </c>
      <c r="B4" s="5">
        <v>50</v>
      </c>
      <c r="C4" s="5">
        <v>95</v>
      </c>
      <c r="D4" s="90" t="str">
        <f t="shared" si="0"/>
        <v>Excellent</v>
      </c>
    </row>
    <row r="5" spans="1:4" x14ac:dyDescent="0.25">
      <c r="A5" s="89" t="s">
        <v>50</v>
      </c>
      <c r="B5" s="5">
        <v>30</v>
      </c>
      <c r="C5" s="5">
        <v>70</v>
      </c>
      <c r="D5" s="90" t="str">
        <f t="shared" si="0"/>
        <v>Needs Improvement</v>
      </c>
    </row>
    <row r="6" spans="1:4" ht="15.75" thickBot="1" x14ac:dyDescent="0.3">
      <c r="A6" s="91" t="s">
        <v>166</v>
      </c>
      <c r="B6" s="92">
        <v>42</v>
      </c>
      <c r="C6" s="92">
        <v>88</v>
      </c>
      <c r="D6" s="90" t="str">
        <f t="shared" si="0"/>
        <v>Good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4E5EA-BBDD-4705-8F2D-515562805B5E}">
  <dimension ref="A1:D6"/>
  <sheetViews>
    <sheetView workbookViewId="0">
      <selection activeCell="D2" sqref="D2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24.140625" customWidth="1"/>
  </cols>
  <sheetData>
    <row r="1" spans="1:4" ht="18" thickBot="1" x14ac:dyDescent="0.3">
      <c r="A1" s="64" t="s">
        <v>52</v>
      </c>
      <c r="B1" s="64" t="s">
        <v>53</v>
      </c>
      <c r="C1" s="64" t="s">
        <v>144</v>
      </c>
      <c r="D1" s="64" t="s">
        <v>167</v>
      </c>
    </row>
    <row r="2" spans="1:4" ht="18" thickBot="1" x14ac:dyDescent="0.3">
      <c r="A2" s="65">
        <v>1</v>
      </c>
      <c r="B2" s="65" t="s">
        <v>98</v>
      </c>
      <c r="C2" s="65">
        <v>78</v>
      </c>
      <c r="D2" s="65" t="str" cm="1">
        <f t="array" ref="D2:D6">IF(C2:C6 &gt;=40,"Pass","Fail")</f>
        <v>Pass</v>
      </c>
    </row>
    <row r="3" spans="1:4" ht="18" thickBot="1" x14ac:dyDescent="0.3">
      <c r="A3" s="65">
        <v>2</v>
      </c>
      <c r="B3" s="65" t="s">
        <v>145</v>
      </c>
      <c r="C3" s="65">
        <v>35</v>
      </c>
      <c r="D3" s="65" t="str">
        <v>Fail</v>
      </c>
    </row>
    <row r="4" spans="1:4" ht="18" thickBot="1" x14ac:dyDescent="0.3">
      <c r="A4" s="65">
        <v>3</v>
      </c>
      <c r="B4" s="65" t="s">
        <v>168</v>
      </c>
      <c r="C4" s="65">
        <v>62</v>
      </c>
      <c r="D4" s="65" t="str">
        <v>Pass</v>
      </c>
    </row>
    <row r="5" spans="1:4" ht="18" thickBot="1" x14ac:dyDescent="0.3">
      <c r="A5" s="65">
        <v>4</v>
      </c>
      <c r="B5" s="65" t="s">
        <v>147</v>
      </c>
      <c r="C5" s="65">
        <v>40</v>
      </c>
      <c r="D5" s="65" t="str">
        <v>Pass</v>
      </c>
    </row>
    <row r="6" spans="1:4" ht="18" thickBot="1" x14ac:dyDescent="0.3">
      <c r="A6" s="65">
        <v>5</v>
      </c>
      <c r="B6" s="65" t="s">
        <v>148</v>
      </c>
      <c r="C6" s="65">
        <v>28</v>
      </c>
      <c r="D6" s="65" t="str">
        <v>Fail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1312-E2B9-49B5-8EB3-49F5DF76A629}">
  <dimension ref="A1:C5"/>
  <sheetViews>
    <sheetView workbookViewId="0">
      <selection activeCell="C2" sqref="C2"/>
    </sheetView>
  </sheetViews>
  <sheetFormatPr defaultRowHeight="15" x14ac:dyDescent="0.25"/>
  <cols>
    <col min="1" max="1" width="19.7109375" bestFit="1" customWidth="1"/>
    <col min="2" max="2" width="9" bestFit="1" customWidth="1"/>
    <col min="3" max="3" width="16" bestFit="1" customWidth="1"/>
  </cols>
  <sheetData>
    <row r="1" spans="1:3" ht="18" thickBot="1" x14ac:dyDescent="0.3">
      <c r="A1" s="64" t="s">
        <v>93</v>
      </c>
      <c r="B1" s="64" t="s">
        <v>3</v>
      </c>
      <c r="C1" s="64" t="s">
        <v>169</v>
      </c>
    </row>
    <row r="2" spans="1:3" ht="18" thickBot="1" x14ac:dyDescent="0.3">
      <c r="A2" s="65" t="s">
        <v>151</v>
      </c>
      <c r="B2" s="65">
        <v>28000</v>
      </c>
      <c r="C2" s="65" t="str" cm="1">
        <f t="array" ref="C2:C5">IF(B2:B5&gt;=40000,"Bonus","No Bonus")</f>
        <v>No Bonus</v>
      </c>
    </row>
    <row r="3" spans="1:3" ht="18" thickBot="1" x14ac:dyDescent="0.3">
      <c r="A3" s="65" t="s">
        <v>152</v>
      </c>
      <c r="B3" s="65">
        <v>45000</v>
      </c>
      <c r="C3" s="65" t="str">
        <v>Bonus</v>
      </c>
    </row>
    <row r="4" spans="1:3" ht="18" thickBot="1" x14ac:dyDescent="0.3">
      <c r="A4" s="65" t="s">
        <v>153</v>
      </c>
      <c r="B4" s="65">
        <v>52000</v>
      </c>
      <c r="C4" s="65" t="str">
        <v>Bonus</v>
      </c>
    </row>
    <row r="5" spans="1:3" ht="18" thickBot="1" x14ac:dyDescent="0.3">
      <c r="A5" s="65" t="s">
        <v>154</v>
      </c>
      <c r="B5" s="65">
        <v>30000</v>
      </c>
      <c r="C5" s="65" t="str">
        <v>No Bonus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3F98B-DD5A-4052-860D-089E9F4A1A34}">
  <dimension ref="A1:C6"/>
  <sheetViews>
    <sheetView workbookViewId="0">
      <selection activeCell="E4" sqref="E4"/>
    </sheetView>
  </sheetViews>
  <sheetFormatPr defaultRowHeight="15" x14ac:dyDescent="0.25"/>
  <cols>
    <col min="1" max="1" width="17.5703125" bestFit="1" customWidth="1"/>
    <col min="2" max="2" width="8.140625" bestFit="1" customWidth="1"/>
    <col min="3" max="3" width="7.7109375" customWidth="1"/>
  </cols>
  <sheetData>
    <row r="1" spans="1:3" ht="18" thickBot="1" x14ac:dyDescent="0.3">
      <c r="A1" s="64" t="s">
        <v>53</v>
      </c>
      <c r="B1" s="64" t="s">
        <v>144</v>
      </c>
      <c r="C1" s="64" t="s">
        <v>170</v>
      </c>
    </row>
    <row r="2" spans="1:3" ht="18" thickBot="1" x14ac:dyDescent="0.3">
      <c r="A2" s="65" t="s">
        <v>98</v>
      </c>
      <c r="B2" s="65">
        <v>82</v>
      </c>
      <c r="C2" s="65" t="str">
        <f>IF(B2&gt;=75,"A",IF(B2&gt;=60,"B",IF(B2&gt;=40,"C","Fail")))</f>
        <v>A</v>
      </c>
    </row>
    <row r="3" spans="1:3" ht="18" thickBot="1" x14ac:dyDescent="0.3">
      <c r="A3" s="65" t="s">
        <v>145</v>
      </c>
      <c r="B3" s="65">
        <v>67</v>
      </c>
      <c r="C3" s="65" t="str">
        <f t="shared" ref="C3:C6" si="0">IF(B3&gt;=75,"A",IF(B3&gt;=60,"B",IF(B3&gt;=40,"C","Fail")))</f>
        <v>B</v>
      </c>
    </row>
    <row r="4" spans="1:3" ht="18" thickBot="1" x14ac:dyDescent="0.3">
      <c r="A4" s="65" t="s">
        <v>168</v>
      </c>
      <c r="B4" s="65">
        <v>45</v>
      </c>
      <c r="C4" s="65" t="str">
        <f t="shared" si="0"/>
        <v>C</v>
      </c>
    </row>
    <row r="5" spans="1:3" ht="18" thickBot="1" x14ac:dyDescent="0.3">
      <c r="A5" s="65" t="s">
        <v>147</v>
      </c>
      <c r="B5" s="65">
        <v>33</v>
      </c>
      <c r="C5" s="65" t="str">
        <f t="shared" si="0"/>
        <v>Fail</v>
      </c>
    </row>
    <row r="6" spans="1:3" ht="18" thickBot="1" x14ac:dyDescent="0.3">
      <c r="A6" s="65" t="s">
        <v>148</v>
      </c>
      <c r="B6" s="65">
        <v>90</v>
      </c>
      <c r="C6" s="65" t="str">
        <f t="shared" si="0"/>
        <v>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CFA8-FA24-4246-913F-5E2E56A3153C}">
  <dimension ref="A1:D5"/>
  <sheetViews>
    <sheetView workbookViewId="0">
      <selection activeCell="D2" sqref="D2"/>
    </sheetView>
  </sheetViews>
  <sheetFormatPr defaultRowHeight="15" x14ac:dyDescent="0.25"/>
  <cols>
    <col min="1" max="1" width="9.7109375" bestFit="1" customWidth="1"/>
    <col min="2" max="2" width="5.5703125" bestFit="1" customWidth="1"/>
    <col min="3" max="3" width="22.28515625" bestFit="1" customWidth="1"/>
    <col min="4" max="4" width="14.140625" bestFit="1" customWidth="1"/>
  </cols>
  <sheetData>
    <row r="1" spans="1:4" ht="18" thickBot="1" x14ac:dyDescent="0.3">
      <c r="A1" s="64" t="s">
        <v>1</v>
      </c>
      <c r="B1" s="64" t="s">
        <v>171</v>
      </c>
      <c r="C1" s="64" t="s">
        <v>172</v>
      </c>
      <c r="D1" s="64" t="s">
        <v>173</v>
      </c>
    </row>
    <row r="2" spans="1:4" ht="18" thickBot="1" x14ac:dyDescent="0.3">
      <c r="A2" s="65" t="s">
        <v>151</v>
      </c>
      <c r="B2" s="65">
        <v>25</v>
      </c>
      <c r="C2" s="65">
        <v>2</v>
      </c>
      <c r="D2" s="65" t="str">
        <f>IF(AND(B2&gt;=21,C2&gt;=1),"Eligible","Not Eligible")</f>
        <v>Eligible</v>
      </c>
    </row>
    <row r="3" spans="1:4" ht="18" thickBot="1" x14ac:dyDescent="0.3">
      <c r="A3" s="65" t="s">
        <v>152</v>
      </c>
      <c r="B3" s="65">
        <v>20</v>
      </c>
      <c r="C3" s="65">
        <v>1</v>
      </c>
      <c r="D3" s="65" t="str">
        <f t="shared" ref="D3:D5" si="0">IF(AND(B3&gt;=21,C3&gt;=1),"Eligible","Not Eligible")</f>
        <v>Not Eligible</v>
      </c>
    </row>
    <row r="4" spans="1:4" ht="18" thickBot="1" x14ac:dyDescent="0.3">
      <c r="A4" s="65" t="s">
        <v>153</v>
      </c>
      <c r="B4" s="65">
        <v>30</v>
      </c>
      <c r="C4" s="65">
        <v>5</v>
      </c>
      <c r="D4" s="65" t="str">
        <f t="shared" si="0"/>
        <v>Eligible</v>
      </c>
    </row>
    <row r="5" spans="1:4" ht="18" thickBot="1" x14ac:dyDescent="0.3">
      <c r="A5" s="65" t="s">
        <v>154</v>
      </c>
      <c r="B5" s="65">
        <v>22</v>
      </c>
      <c r="C5" s="65">
        <v>0</v>
      </c>
      <c r="D5" s="65" t="str">
        <f t="shared" si="0"/>
        <v>Not Eligible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DC0C-396F-4E4D-9C39-7AAE0106940D}">
  <dimension ref="A1:D5"/>
  <sheetViews>
    <sheetView workbookViewId="0">
      <selection activeCell="D2" sqref="D2:D5"/>
    </sheetView>
  </sheetViews>
  <sheetFormatPr defaultRowHeight="15" x14ac:dyDescent="0.25"/>
  <cols>
    <col min="1" max="4" width="19.85546875" customWidth="1"/>
  </cols>
  <sheetData>
    <row r="1" spans="1:4" ht="35.25" thickBot="1" x14ac:dyDescent="0.3">
      <c r="A1" s="64" t="s">
        <v>53</v>
      </c>
      <c r="B1" s="64" t="s">
        <v>174</v>
      </c>
      <c r="C1" s="64" t="s">
        <v>175</v>
      </c>
      <c r="D1" s="64" t="s">
        <v>173</v>
      </c>
    </row>
    <row r="2" spans="1:4" ht="18" thickBot="1" x14ac:dyDescent="0.3">
      <c r="A2" s="65" t="s">
        <v>98</v>
      </c>
      <c r="B2" s="65">
        <v>85</v>
      </c>
      <c r="C2" s="65" t="s">
        <v>176</v>
      </c>
      <c r="D2" s="65" t="str">
        <f>IF(AND(B2&gt;=75,C2="yes"),"Eligible","Not Eligible")</f>
        <v>Eligible</v>
      </c>
    </row>
    <row r="3" spans="1:4" ht="18" thickBot="1" x14ac:dyDescent="0.3">
      <c r="A3" s="65" t="s">
        <v>145</v>
      </c>
      <c r="B3" s="65">
        <v>72</v>
      </c>
      <c r="C3" s="65" t="s">
        <v>176</v>
      </c>
      <c r="D3" s="65" t="str">
        <f t="shared" ref="D3:D5" si="0">IF(AND(B3&gt;=75,C3="yes"),"Eligible","Not Eligible")</f>
        <v>Not Eligible</v>
      </c>
    </row>
    <row r="4" spans="1:4" ht="18" thickBot="1" x14ac:dyDescent="0.3">
      <c r="A4" s="65" t="s">
        <v>168</v>
      </c>
      <c r="B4" s="65">
        <v>90</v>
      </c>
      <c r="C4" s="65" t="s">
        <v>177</v>
      </c>
      <c r="D4" s="65" t="str">
        <f t="shared" si="0"/>
        <v>Not Eligible</v>
      </c>
    </row>
    <row r="5" spans="1:4" ht="18" thickBot="1" x14ac:dyDescent="0.3">
      <c r="A5" s="65" t="s">
        <v>147</v>
      </c>
      <c r="B5" s="65">
        <v>80</v>
      </c>
      <c r="C5" s="65" t="s">
        <v>176</v>
      </c>
      <c r="D5" s="65" t="str">
        <f t="shared" si="0"/>
        <v>Eligible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5AC50-F0B3-47F2-9091-C185FF4F044C}">
  <dimension ref="A1:D5"/>
  <sheetViews>
    <sheetView workbookViewId="0">
      <selection activeCell="E5" sqref="E5"/>
    </sheetView>
  </sheetViews>
  <sheetFormatPr defaultRowHeight="15" x14ac:dyDescent="0.25"/>
  <cols>
    <col min="1" max="1" width="19.7109375" bestFit="1" customWidth="1"/>
    <col min="2" max="2" width="21.28515625" bestFit="1" customWidth="1"/>
    <col min="3" max="3" width="15.42578125" bestFit="1" customWidth="1"/>
    <col min="4" max="4" width="19.140625" customWidth="1"/>
  </cols>
  <sheetData>
    <row r="1" spans="1:4" ht="18" thickBot="1" x14ac:dyDescent="0.3">
      <c r="A1" s="64" t="s">
        <v>178</v>
      </c>
      <c r="B1" s="64" t="s">
        <v>179</v>
      </c>
      <c r="C1" s="64" t="s">
        <v>180</v>
      </c>
      <c r="D1" s="64" t="s">
        <v>181</v>
      </c>
    </row>
    <row r="2" spans="1:4" ht="18" thickBot="1" x14ac:dyDescent="0.3">
      <c r="A2" s="65" t="s">
        <v>58</v>
      </c>
      <c r="B2" s="65">
        <v>9000</v>
      </c>
      <c r="C2" s="65" t="s">
        <v>177</v>
      </c>
      <c r="D2" s="65" t="str">
        <f>IF(OR(B2&gt;=10000,C2="yes"),"Discount","No Discount")</f>
        <v>No Discount</v>
      </c>
    </row>
    <row r="3" spans="1:4" ht="18" thickBot="1" x14ac:dyDescent="0.3">
      <c r="A3" s="65" t="s">
        <v>182</v>
      </c>
      <c r="B3" s="65">
        <v>12000</v>
      </c>
      <c r="C3" s="65" t="s">
        <v>177</v>
      </c>
      <c r="D3" s="65" t="str">
        <f t="shared" ref="D3:D5" si="0">IF(OR(B3&gt;=10000,C3="yes"),"Discount","No Discount")</f>
        <v>Discount</v>
      </c>
    </row>
    <row r="4" spans="1:4" ht="18" thickBot="1" x14ac:dyDescent="0.3">
      <c r="A4" s="65" t="s">
        <v>168</v>
      </c>
      <c r="B4" s="65">
        <v>4000</v>
      </c>
      <c r="C4" s="65" t="s">
        <v>176</v>
      </c>
      <c r="D4" s="65" t="str">
        <f t="shared" si="0"/>
        <v>Discount</v>
      </c>
    </row>
    <row r="5" spans="1:4" ht="18" thickBot="1" x14ac:dyDescent="0.3">
      <c r="A5" s="65" t="s">
        <v>61</v>
      </c>
      <c r="B5" s="65">
        <v>3000</v>
      </c>
      <c r="C5" s="65" t="s">
        <v>177</v>
      </c>
      <c r="D5" s="65" t="str">
        <f t="shared" si="0"/>
        <v>No Discount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3C5DB-5FC0-45A8-8A22-B31AC317877D}">
  <dimension ref="A1:D5"/>
  <sheetViews>
    <sheetView workbookViewId="0">
      <selection activeCell="K22" sqref="K2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12.140625" bestFit="1" customWidth="1"/>
    <col min="4" max="4" width="14.85546875" bestFit="1" customWidth="1"/>
  </cols>
  <sheetData>
    <row r="1" spans="1:4" ht="15.75" thickBot="1" x14ac:dyDescent="0.3">
      <c r="A1" s="93" t="s">
        <v>183</v>
      </c>
      <c r="B1" s="93" t="s">
        <v>3</v>
      </c>
      <c r="C1" s="93" t="s">
        <v>184</v>
      </c>
      <c r="D1" s="93" t="s">
        <v>185</v>
      </c>
    </row>
    <row r="2" spans="1:4" ht="15.75" thickBot="1" x14ac:dyDescent="0.3">
      <c r="A2" s="94" t="s">
        <v>151</v>
      </c>
      <c r="B2" s="94">
        <v>35000</v>
      </c>
      <c r="C2" s="94">
        <v>720</v>
      </c>
      <c r="D2" s="94" t="str">
        <f>IF(OR(B2&gt;=40000,C2&gt;=700),"Approved","Not Approved")</f>
        <v>Approved</v>
      </c>
    </row>
    <row r="3" spans="1:4" ht="15.75" thickBot="1" x14ac:dyDescent="0.3">
      <c r="A3" s="94" t="s">
        <v>152</v>
      </c>
      <c r="B3" s="94">
        <v>25000</v>
      </c>
      <c r="C3" s="94">
        <v>680</v>
      </c>
      <c r="D3" s="94" t="str">
        <f t="shared" ref="D3:D5" si="0">IF(OR(B3&gt;=40000,C3&gt;=700),"Approved","Not Approved")</f>
        <v>Not Approved</v>
      </c>
    </row>
    <row r="4" spans="1:4" ht="15.75" thickBot="1" x14ac:dyDescent="0.3">
      <c r="A4" s="94" t="s">
        <v>153</v>
      </c>
      <c r="B4" s="94">
        <v>50000</v>
      </c>
      <c r="C4" s="94">
        <v>650</v>
      </c>
      <c r="D4" s="94" t="str">
        <f t="shared" si="0"/>
        <v>Approved</v>
      </c>
    </row>
    <row r="5" spans="1:4" ht="15.75" thickBot="1" x14ac:dyDescent="0.3">
      <c r="A5" s="94" t="s">
        <v>154</v>
      </c>
      <c r="B5" s="94">
        <v>20000</v>
      </c>
      <c r="C5" s="94">
        <v>600</v>
      </c>
      <c r="D5" s="94" t="str">
        <f t="shared" si="0"/>
        <v>Not Approved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A7CD3-6C36-4BC0-81C4-0EE67C876B41}">
  <dimension ref="A1:C5"/>
  <sheetViews>
    <sheetView workbookViewId="0">
      <selection activeCell="E4" sqref="E4"/>
    </sheetView>
  </sheetViews>
  <sheetFormatPr defaultRowHeight="15" x14ac:dyDescent="0.25"/>
  <cols>
    <col min="1" max="1" width="9" bestFit="1" customWidth="1"/>
    <col min="2" max="2" width="9.7109375" bestFit="1" customWidth="1"/>
    <col min="3" max="3" width="10" bestFit="1" customWidth="1"/>
  </cols>
  <sheetData>
    <row r="1" spans="1:3" ht="18" thickBot="1" x14ac:dyDescent="0.3">
      <c r="A1" s="64" t="s">
        <v>1</v>
      </c>
      <c r="B1" s="64" t="s">
        <v>186</v>
      </c>
      <c r="C1" s="64" t="s">
        <v>187</v>
      </c>
    </row>
    <row r="2" spans="1:3" ht="18" thickBot="1" x14ac:dyDescent="0.3">
      <c r="A2" s="65" t="s">
        <v>98</v>
      </c>
      <c r="B2" s="65" t="b">
        <v>1</v>
      </c>
      <c r="C2" s="65" t="str">
        <f>IF(NOT(B2),"Absent","Present")</f>
        <v>Present</v>
      </c>
    </row>
    <row r="3" spans="1:3" ht="18" thickBot="1" x14ac:dyDescent="0.3">
      <c r="A3" s="65" t="s">
        <v>145</v>
      </c>
      <c r="B3" s="65" t="b">
        <v>0</v>
      </c>
      <c r="C3" s="65" t="str">
        <f t="shared" ref="C3:C5" si="0">IF(NOT(B3),"Absent","Present")</f>
        <v>Absent</v>
      </c>
    </row>
    <row r="4" spans="1:3" ht="18" thickBot="1" x14ac:dyDescent="0.3">
      <c r="A4" s="65" t="s">
        <v>168</v>
      </c>
      <c r="B4" s="65" t="b">
        <v>1</v>
      </c>
      <c r="C4" s="65" t="str">
        <f t="shared" si="0"/>
        <v>Present</v>
      </c>
    </row>
    <row r="5" spans="1:3" ht="18" thickBot="1" x14ac:dyDescent="0.3">
      <c r="A5" s="65" t="s">
        <v>147</v>
      </c>
      <c r="B5" s="65" t="b">
        <v>0</v>
      </c>
      <c r="C5" s="65" t="str">
        <f t="shared" si="0"/>
        <v>Absent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16575-5420-4C6F-880A-B08F3243294A}">
  <dimension ref="A1:C5"/>
  <sheetViews>
    <sheetView workbookViewId="0">
      <selection activeCell="E4" sqref="E4"/>
    </sheetView>
  </sheetViews>
  <sheetFormatPr defaultRowHeight="15" x14ac:dyDescent="0.25"/>
  <cols>
    <col min="1" max="2" width="12.5703125" bestFit="1" customWidth="1"/>
    <col min="3" max="3" width="11" bestFit="1" customWidth="1"/>
  </cols>
  <sheetData>
    <row r="1" spans="1:3" ht="18" thickBot="1" x14ac:dyDescent="0.3">
      <c r="A1" s="64" t="s">
        <v>188</v>
      </c>
      <c r="B1" s="64" t="s">
        <v>189</v>
      </c>
      <c r="C1" s="64" t="s">
        <v>167</v>
      </c>
    </row>
    <row r="2" spans="1:3" ht="35.25" thickBot="1" x14ac:dyDescent="0.3">
      <c r="A2" s="65">
        <v>10</v>
      </c>
      <c r="B2" s="65">
        <v>2</v>
      </c>
      <c r="C2" s="65">
        <f>IFERROR(A2/B2,"INVALID")</f>
        <v>5</v>
      </c>
    </row>
    <row r="3" spans="1:3" ht="18" thickBot="1" x14ac:dyDescent="0.3">
      <c r="A3" s="65">
        <v>15</v>
      </c>
      <c r="B3" s="65">
        <v>0</v>
      </c>
      <c r="C3" s="65" t="str">
        <f t="shared" ref="C3:C5" si="0">IFERROR(A3/B3,"INVALID")</f>
        <v>INVALID</v>
      </c>
    </row>
    <row r="4" spans="1:3" ht="18" thickBot="1" x14ac:dyDescent="0.3">
      <c r="A4" s="65">
        <v>20</v>
      </c>
      <c r="B4" s="65">
        <v>5</v>
      </c>
      <c r="C4" s="65">
        <f t="shared" si="0"/>
        <v>4</v>
      </c>
    </row>
    <row r="5" spans="1:3" ht="18" thickBot="1" x14ac:dyDescent="0.3">
      <c r="A5" s="65">
        <v>8</v>
      </c>
      <c r="B5" s="65">
        <v>0</v>
      </c>
      <c r="C5" s="65" t="str">
        <f t="shared" si="0"/>
        <v>INVALID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1171-E4FF-4E8B-89DE-767B4D6D48F5}">
  <dimension ref="A1:D5"/>
  <sheetViews>
    <sheetView workbookViewId="0">
      <selection activeCell="E3" sqref="E3"/>
    </sheetView>
  </sheetViews>
  <sheetFormatPr defaultRowHeight="15" x14ac:dyDescent="0.25"/>
  <cols>
    <col min="1" max="1" width="17.7109375" bestFit="1" customWidth="1"/>
    <col min="2" max="2" width="18.7109375" bestFit="1" customWidth="1"/>
    <col min="3" max="3" width="15.140625" bestFit="1" customWidth="1"/>
    <col min="4" max="4" width="20.85546875" bestFit="1" customWidth="1"/>
    <col min="5" max="5" width="20.42578125" customWidth="1"/>
  </cols>
  <sheetData>
    <row r="1" spans="1:4" ht="15.75" thickBot="1" x14ac:dyDescent="0.3">
      <c r="A1" s="93" t="s">
        <v>93</v>
      </c>
      <c r="B1" s="93" t="s">
        <v>190</v>
      </c>
      <c r="C1" s="93" t="s">
        <v>174</v>
      </c>
      <c r="D1" s="93" t="s">
        <v>162</v>
      </c>
    </row>
    <row r="2" spans="1:4" ht="15.75" thickBot="1" x14ac:dyDescent="0.3">
      <c r="A2" s="94" t="s">
        <v>191</v>
      </c>
      <c r="B2" s="94">
        <v>45</v>
      </c>
      <c r="C2" s="94">
        <v>92</v>
      </c>
      <c r="D2" s="94" t="str">
        <f>IF(AND(C2&gt;=90,B2&gt;=40),"Excellent",IF(C2&gt;=80,"Good","Needs Improvement"))</f>
        <v>Excellent</v>
      </c>
    </row>
    <row r="3" spans="1:4" ht="15.75" thickBot="1" x14ac:dyDescent="0.3">
      <c r="A3" s="94" t="s">
        <v>164</v>
      </c>
      <c r="B3" s="94">
        <v>38</v>
      </c>
      <c r="C3" s="94">
        <v>85</v>
      </c>
      <c r="D3" s="94" t="str">
        <f t="shared" ref="D3:D5" si="0">IF(AND(C3&gt;=90,B3&gt;=40),"Excellent",IF(C3&gt;=80,"Good","Needs Improvement"))</f>
        <v>Good</v>
      </c>
    </row>
    <row r="4" spans="1:4" ht="15.75" thickBot="1" x14ac:dyDescent="0.3">
      <c r="A4" s="94" t="s">
        <v>165</v>
      </c>
      <c r="B4" s="94">
        <v>50</v>
      </c>
      <c r="C4" s="94">
        <v>95</v>
      </c>
      <c r="D4" s="94" t="str">
        <f t="shared" si="0"/>
        <v>Excellent</v>
      </c>
    </row>
    <row r="5" spans="1:4" ht="15.75" thickBot="1" x14ac:dyDescent="0.3">
      <c r="A5" s="94" t="s">
        <v>50</v>
      </c>
      <c r="B5" s="94">
        <v>30</v>
      </c>
      <c r="C5" s="94">
        <v>70</v>
      </c>
      <c r="D5" s="94" t="str">
        <f t="shared" si="0"/>
        <v>Needs Improvement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5181-3178-4486-8EC3-BD3BCF611A3C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ASDC23</dc:creator>
  <cp:lastModifiedBy>ASDC23</cp:lastModifiedBy>
  <dcterms:created xsi:type="dcterms:W3CDTF">2026-07-04T08:24:00Z</dcterms:created>
  <dcterms:modified xsi:type="dcterms:W3CDTF">2026-07-05T09:27:33Z</dcterms:modified>
</cp:coreProperties>
</file>