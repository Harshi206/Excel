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Harshi DA-18\"/>
    </mc:Choice>
  </mc:AlternateContent>
  <xr:revisionPtr revIDLastSave="0" documentId="13_ncr:1_{B6D2CF28-D94E-4C69-B8F2-D4A0BEA8434C}" xr6:coauthVersionLast="47" xr6:coauthVersionMax="47" xr10:uidLastSave="{00000000-0000-0000-0000-000000000000}"/>
  <bookViews>
    <workbookView xWindow="-120" yWindow="-120" windowWidth="20730" windowHeight="11040" xr2:uid="{9B44EA24-2CB2-47DC-A99B-993C0691DF35}"/>
  </bookViews>
  <sheets>
    <sheet name="Sheet1" sheetId="1" r:id="rId1"/>
    <sheet name="Look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" l="1"/>
  <c r="D14" i="2" a="1"/>
  <c r="D14" i="2" s="1"/>
  <c r="E16" i="2"/>
  <c r="E13" i="2"/>
  <c r="B16" i="2"/>
  <c r="B13" i="2"/>
  <c r="K3" i="2"/>
  <c r="H9" i="2"/>
  <c r="H6" i="2"/>
  <c r="H3" i="2"/>
  <c r="E9" i="2"/>
  <c r="E6" i="2"/>
  <c r="E3" i="2"/>
  <c r="B9" i="2"/>
  <c r="B6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<sst xmlns="http://schemas.openxmlformats.org/spreadsheetml/2006/main" count="97" uniqueCount="51">
  <si>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</si>
  <si>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</si>
  <si>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</si>
  <si>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</si>
  <si>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</si>
  <si>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</si>
  <si>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</si>
  <si>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</si>
  <si>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</si>
  <si>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</si>
  <si>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</si>
  <si>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</si>
  <si>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</si>
  <si>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</si>
  <si>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</si>
  <si>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</si>
  <si>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</si>
  <si>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</si>
  <si>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</si>
  <si>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</si>
  <si>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</si>
  <si>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</si>
  <si>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</si>
  <si>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</si>
  <si>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</si>
  <si>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</si>
  <si>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</si>
  <si>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</si>
  <si>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</si>
  <si>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</si>
  <si>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</si>
  <si>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</si>
  <si>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</si>
  <si>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</si>
  <si>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 ID</t>
  </si>
  <si>
    <t xml:space="preserve">Name </t>
  </si>
  <si>
    <t>Emp Id</t>
  </si>
  <si>
    <t>E123</t>
  </si>
  <si>
    <t>Joining Year</t>
  </si>
  <si>
    <t>Vlookup</t>
  </si>
  <si>
    <t>Bonus</t>
  </si>
  <si>
    <t>sales</t>
  </si>
  <si>
    <t>Employee</t>
  </si>
  <si>
    <t>DA</t>
  </si>
  <si>
    <t>Hlookup</t>
  </si>
  <si>
    <t>Emp Name</t>
  </si>
  <si>
    <t>E999</t>
  </si>
  <si>
    <t>department</t>
  </si>
  <si>
    <t>bonus</t>
  </si>
  <si>
    <t>It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</si>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</sst>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9" fontId="3" fillId="0" borderId="1" xfId="0" applyNumberFormat="1" applyFont="1" applyFill="1" applyBorder="1" applyAlignment="1">
      <alignment horizontal="right" vertical="center" wrapText="1" indent="1"/>
    </xf>
    <xf numFmtId="0" fontId="0" fillId="0" borderId="2" xfId="0" applyBorder="1"/>
    <xf numFmtId="9" fontId="0" fillId="0" borderId="2" xfId="1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Fill="1" applyBorder="1"/>
    <xf numFmtId="0" fontId="0" fillId="0" borderId="13" xfId="0" applyBorder="1"/>
    <xf numFmtId="9" fontId="0" fillId="0" borderId="7" xfId="1" applyFont="1" applyBorder="1"/>
    <xf numFmtId="0" fontId="0" fillId="0" borderId="14" xfId="0" applyBorder="1"/>
    <xf numFmtId="0" fontId="3" fillId="0" borderId="6" xfId="0" applyFont="1" applyFill="1" applyBorder="1" applyAlignment="1">
      <alignment horizontal="left" vertical="center" wrapText="1" indent="1"/>
    </xf>
    <xf numFmtId="9" fontId="0" fillId="0" borderId="11" xfId="1" applyFon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F6B8-4843-491B-BAC9-61700206A29A}">
  <dimension ref="A1:F17"/>
  <sheetViews>
    <sheetView tabSelected="1" workbookViewId="0">
      <selection activeCell="H11" sqref="H11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14.7109375" bestFit="1" customWidth="1"/>
    <col min="4" max="4" width="13.5703125" bestFit="1" customWidth="1"/>
    <col min="5" max="5" width="11.140625" bestFit="1" customWidth="1"/>
    <col min="6" max="6" width="15.85546875" bestFit="1" customWidth="1"/>
  </cols>
  <sheetData>
    <row r="1" spans="1:6" ht="18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3" t="s">
        <v>5</v>
      </c>
    </row>
    <row r="2" spans="1:6" ht="18" thickBot="1" x14ac:dyDescent="0.3">
      <c r="A2" s="1" t="s">
        <v>6</v>
      </c>
      <c r="B2" s="2" t="s">
        <v>7</v>
      </c>
      <c r="C2" s="2" t="s">
        <v>8</v>
      </c>
      <c r="D2" s="2" t="s">
        <v>9</v>
      </c>
      <c r="E2" s="1">
        <v>45000</v>
      </c>
      <c r="F2" s="1">
        <v>2019</v>
      </c>
    </row>
    <row r="3" spans="1:6" ht="18" thickBot="1" x14ac:dyDescent="0.3">
      <c r="A3" s="1" t="s">
        <v>10</v>
      </c>
      <c r="B3" s="2" t="s">
        <v>11</v>
      </c>
      <c r="C3" s="2" t="s">
        <v>12</v>
      </c>
      <c r="D3" s="2" t="s">
        <v>13</v>
      </c>
      <c r="E3" s="1">
        <v>52000</v>
      </c>
      <c r="F3" s="1">
        <v>2018</v>
      </c>
    </row>
    <row r="4" spans="1:6" ht="18" thickBot="1" x14ac:dyDescent="0.3">
      <c r="A4" s="1" t="s">
        <v>14</v>
      </c>
      <c r="B4" s="2" t="s">
        <v>15</v>
      </c>
      <c r="C4" s="2" t="s">
        <v>16</v>
      </c>
      <c r="D4" s="2" t="s">
        <v>17</v>
      </c>
      <c r="E4" s="1">
        <v>65000</v>
      </c>
      <c r="F4" s="1">
        <v>2020</v>
      </c>
    </row>
    <row r="5" spans="1:6" ht="18" thickBot="1" x14ac:dyDescent="0.3">
      <c r="A5" s="1" t="s">
        <v>18</v>
      </c>
      <c r="B5" s="2" t="s">
        <v>19</v>
      </c>
      <c r="C5" s="2" t="s">
        <v>20</v>
      </c>
      <c r="D5" s="2" t="s">
        <v>21</v>
      </c>
      <c r="E5" s="1">
        <v>58000</v>
      </c>
      <c r="F5" s="1">
        <v>2017</v>
      </c>
    </row>
    <row r="6" spans="1:6" ht="18" thickBot="1" x14ac:dyDescent="0.3">
      <c r="A6" s="1" t="s">
        <v>22</v>
      </c>
      <c r="B6" s="2" t="s">
        <v>23</v>
      </c>
      <c r="C6" s="2" t="s">
        <v>24</v>
      </c>
      <c r="D6" s="2" t="s">
        <v>9</v>
      </c>
      <c r="E6" s="1">
        <v>48000</v>
      </c>
      <c r="F6" s="1">
        <v>2021</v>
      </c>
    </row>
    <row r="7" spans="1:6" ht="18" thickBot="1" x14ac:dyDescent="0.3">
      <c r="A7" s="1" t="s">
        <v>25</v>
      </c>
      <c r="B7" s="2" t="s">
        <v>26</v>
      </c>
      <c r="C7" s="2" t="s">
        <v>16</v>
      </c>
      <c r="D7" s="2" t="s">
        <v>27</v>
      </c>
      <c r="E7" s="1">
        <v>62000</v>
      </c>
      <c r="F7" s="1">
        <v>2019</v>
      </c>
    </row>
    <row r="8" spans="1:6" ht="18" thickBot="1" x14ac:dyDescent="0.3">
      <c r="A8" s="1" t="s">
        <v>28</v>
      </c>
      <c r="B8" s="2" t="s">
        <v>29</v>
      </c>
      <c r="C8" s="2" t="s">
        <v>8</v>
      </c>
      <c r="D8" s="2" t="s">
        <v>30</v>
      </c>
      <c r="E8" s="1">
        <v>47000</v>
      </c>
      <c r="F8" s="1">
        <v>2020</v>
      </c>
    </row>
    <row r="9" spans="1:6" ht="18" thickBot="1" x14ac:dyDescent="0.3">
      <c r="A9" s="1" t="s">
        <v>31</v>
      </c>
      <c r="B9" s="2" t="s">
        <v>32</v>
      </c>
      <c r="C9" s="2" t="s">
        <v>12</v>
      </c>
      <c r="D9" s="2" t="s">
        <v>17</v>
      </c>
      <c r="E9" s="1">
        <v>54000</v>
      </c>
      <c r="F9" s="1">
        <v>2016</v>
      </c>
    </row>
    <row r="11" spans="1:6" ht="15.75" thickBot="1" x14ac:dyDescent="0.3"/>
    <row r="12" spans="1:6" ht="18" thickBot="1" x14ac:dyDescent="0.3">
      <c r="A12" s="24" t="s">
        <v>2</v>
      </c>
      <c r="B12" s="23" t="s">
        <v>8</v>
      </c>
      <c r="C12" s="23" t="s">
        <v>12</v>
      </c>
      <c r="D12" s="23" t="s">
        <v>16</v>
      </c>
      <c r="E12" s="23" t="s">
        <v>20</v>
      </c>
      <c r="F12" s="23" t="s">
        <v>24</v>
      </c>
    </row>
    <row r="13" spans="1:6" ht="18" thickBot="1" x14ac:dyDescent="0.3">
      <c r="A13" s="2" t="s">
        <v>33</v>
      </c>
      <c r="B13" s="3">
        <v>0.1</v>
      </c>
      <c r="C13" s="3">
        <v>0.08</v>
      </c>
      <c r="D13" s="3">
        <v>0.12</v>
      </c>
      <c r="E13" s="3">
        <v>0.15</v>
      </c>
      <c r="F13" s="3">
        <v>0.09</v>
      </c>
    </row>
    <row r="15" spans="1:6" ht="15.75" thickBot="1" x14ac:dyDescent="0.3"/>
    <row r="16" spans="1:6" ht="18" thickBot="1" x14ac:dyDescent="0.3">
      <c r="A16" s="24" t="s">
        <v>0</v>
      </c>
      <c r="B16" s="24" t="s">
        <v>1</v>
      </c>
    </row>
    <row r="17" spans="1:2" ht="18" thickBot="1" x14ac:dyDescent="0.3">
      <c r="A17" s="2" t="s">
        <v>18</v>
      </c>
      <c r="B17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3CE7-3D57-46FC-87A0-783181F64614}">
  <dimension ref="A1:K19"/>
  <sheetViews>
    <sheetView workbookViewId="0">
      <selection activeCell="G12" sqref="G12"/>
    </sheetView>
  </sheetViews>
  <sheetFormatPr defaultRowHeight="15" x14ac:dyDescent="0.25"/>
  <cols>
    <col min="1" max="1" width="16.7109375" bestFit="1" customWidth="1"/>
    <col min="2" max="2" width="13.42578125" bestFit="1" customWidth="1"/>
    <col min="3" max="3" width="14.5703125" customWidth="1"/>
    <col min="4" max="4" width="12" bestFit="1" customWidth="1"/>
    <col min="5" max="5" width="11.5703125" bestFit="1" customWidth="1"/>
    <col min="6" max="6" width="14.5703125" customWidth="1"/>
    <col min="7" max="7" width="11.7109375" bestFit="1" customWidth="1"/>
    <col min="8" max="8" width="6.42578125" bestFit="1" customWidth="1"/>
    <col min="9" max="9" width="14.5703125" customWidth="1"/>
    <col min="10" max="10" width="11.7109375" bestFit="1" customWidth="1"/>
    <col min="11" max="11" width="10.28515625" bestFit="1" customWidth="1"/>
    <col min="12" max="12" width="29.85546875" customWidth="1"/>
  </cols>
  <sheetData>
    <row r="1" spans="1:11" x14ac:dyDescent="0.25">
      <c r="A1" s="20" t="s">
        <v>39</v>
      </c>
      <c r="B1" s="21"/>
      <c r="C1" s="21"/>
      <c r="D1" s="21"/>
      <c r="E1" s="22"/>
      <c r="G1" s="20" t="s">
        <v>44</v>
      </c>
      <c r="H1" s="21"/>
      <c r="I1" s="21"/>
      <c r="J1" s="21"/>
      <c r="K1" s="22"/>
    </row>
    <row r="2" spans="1:11" x14ac:dyDescent="0.25">
      <c r="A2" s="6" t="s">
        <v>34</v>
      </c>
      <c r="B2" s="4" t="s">
        <v>1</v>
      </c>
      <c r="C2" s="7"/>
      <c r="D2" s="4" t="s">
        <v>34</v>
      </c>
      <c r="E2" s="8" t="s">
        <v>3</v>
      </c>
      <c r="G2" s="6" t="s">
        <v>2</v>
      </c>
      <c r="H2" s="4" t="s">
        <v>40</v>
      </c>
      <c r="I2" s="7"/>
      <c r="J2" s="4" t="s">
        <v>2</v>
      </c>
      <c r="K2" s="8" t="s">
        <v>40</v>
      </c>
    </row>
    <row r="3" spans="1:11" x14ac:dyDescent="0.25">
      <c r="A3" s="6" t="s">
        <v>10</v>
      </c>
      <c r="B3" s="4" t="str">
        <f>VLOOKUP(A3,Sheet1!A2:B9,2,(0))</f>
        <v>Ananya Gupta</v>
      </c>
      <c r="C3" s="7"/>
      <c r="D3" s="4" t="s">
        <v>28</v>
      </c>
      <c r="E3" s="8" t="str">
        <f>VLOOKUP(D3,Sheet1!A2:D9,4,(0))</f>
        <v>Hyderabad</v>
      </c>
      <c r="G3" s="6" t="s">
        <v>41</v>
      </c>
      <c r="H3" s="5">
        <f>HLOOKUP(G3,Sheet1!A12:D13,2,0)</f>
        <v>0.1</v>
      </c>
      <c r="I3" s="7"/>
      <c r="J3" s="4" t="s">
        <v>43</v>
      </c>
      <c r="K3" s="16" t="str">
        <f>IFERROR(HLOOKUP(J3,Sheet1!A12:F13,2,0),"Not Found")</f>
        <v>Not Found</v>
      </c>
    </row>
    <row r="4" spans="1:11" x14ac:dyDescent="0.25">
      <c r="A4" s="9"/>
      <c r="B4" s="7"/>
      <c r="C4" s="7"/>
      <c r="D4" s="7"/>
      <c r="E4" s="10"/>
      <c r="G4" s="9"/>
      <c r="H4" s="7"/>
      <c r="I4" s="7"/>
      <c r="J4" s="7"/>
      <c r="K4" s="10"/>
    </row>
    <row r="5" spans="1:11" x14ac:dyDescent="0.25">
      <c r="A5" s="6" t="s">
        <v>34</v>
      </c>
      <c r="B5" s="4" t="s">
        <v>2</v>
      </c>
      <c r="C5" s="7"/>
      <c r="D5" s="4" t="s">
        <v>36</v>
      </c>
      <c r="E5" s="8" t="s">
        <v>1</v>
      </c>
      <c r="G5" s="6" t="s">
        <v>2</v>
      </c>
      <c r="H5" s="4" t="s">
        <v>40</v>
      </c>
      <c r="I5" s="7"/>
      <c r="J5" s="7"/>
      <c r="K5" s="10"/>
    </row>
    <row r="6" spans="1:11" x14ac:dyDescent="0.25">
      <c r="A6" s="6" t="s">
        <v>14</v>
      </c>
      <c r="B6" s="4" t="str">
        <f>VLOOKUP(A6,Sheet1!A2:C9,3,(0))</f>
        <v>IT</v>
      </c>
      <c r="C6" s="7"/>
      <c r="D6" s="4" t="s">
        <v>37</v>
      </c>
      <c r="E6" s="8" t="str">
        <f>IFERROR(VLOOKUP(D6,Sheet1!A2:B10,2,(0)),"Not Found")</f>
        <v>Not Found</v>
      </c>
      <c r="G6" s="6" t="s">
        <v>20</v>
      </c>
      <c r="H6" s="5">
        <f>HLOOKUP(G6,Sheet1!A12:F13,2,0)</f>
        <v>0.15</v>
      </c>
      <c r="I6" s="7"/>
      <c r="J6" s="7"/>
      <c r="K6" s="10"/>
    </row>
    <row r="7" spans="1:11" x14ac:dyDescent="0.25">
      <c r="A7" s="9"/>
      <c r="B7" s="7"/>
      <c r="C7" s="7"/>
      <c r="D7" s="7"/>
      <c r="E7" s="10"/>
      <c r="G7" s="9"/>
      <c r="H7" s="7"/>
      <c r="I7" s="7"/>
      <c r="J7" s="7"/>
      <c r="K7" s="10"/>
    </row>
    <row r="8" spans="1:11" x14ac:dyDescent="0.25">
      <c r="A8" s="6" t="s">
        <v>35</v>
      </c>
      <c r="B8" s="4" t="s">
        <v>4</v>
      </c>
      <c r="C8" s="7"/>
      <c r="D8" s="4" t="s">
        <v>36</v>
      </c>
      <c r="E8" s="8" t="s">
        <v>38</v>
      </c>
      <c r="G8" s="6" t="s">
        <v>42</v>
      </c>
      <c r="H8" s="4" t="s">
        <v>40</v>
      </c>
      <c r="I8" s="7"/>
      <c r="J8" s="7"/>
      <c r="K8" s="10"/>
    </row>
    <row r="9" spans="1:11" ht="15.75" thickBot="1" x14ac:dyDescent="0.3">
      <c r="A9" s="11" t="s">
        <v>19</v>
      </c>
      <c r="B9" s="12">
        <f>VLOOKUP(A9,Sheet1!B2:E9,4,(0))</f>
        <v>58000</v>
      </c>
      <c r="C9" s="13"/>
      <c r="D9" s="14" t="s">
        <v>6</v>
      </c>
      <c r="E9" s="15">
        <f>VLOOKUP(D9,Sheet1!A2:F9,6,(0))</f>
        <v>2019</v>
      </c>
      <c r="G9" s="11" t="s">
        <v>6</v>
      </c>
      <c r="H9" s="12">
        <f>VLOOKUP(G9,Sheet1!A2:E9,5,0)*HLOOKUP(VLOOKUP(Lookups!G9,Sheet1!A2:C9,3,0),Sheet1!A12:F13,2,0)</f>
        <v>4500</v>
      </c>
      <c r="I9" s="13"/>
      <c r="J9" s="13"/>
      <c r="K9" s="17"/>
    </row>
    <row r="10" spans="1:11" ht="15.75" thickBot="1" x14ac:dyDescent="0.3"/>
    <row r="11" spans="1:11" x14ac:dyDescent="0.25">
      <c r="A11" s="20" t="s">
        <v>50</v>
      </c>
      <c r="B11" s="21"/>
      <c r="C11" s="21"/>
      <c r="D11" s="21"/>
      <c r="E11" s="22"/>
    </row>
    <row r="12" spans="1:11" x14ac:dyDescent="0.25">
      <c r="A12" s="6" t="s">
        <v>36</v>
      </c>
      <c r="B12" s="4" t="s">
        <v>4</v>
      </c>
      <c r="C12" s="7"/>
      <c r="D12" s="4" t="s">
        <v>45</v>
      </c>
      <c r="E12" s="8" t="s">
        <v>3</v>
      </c>
    </row>
    <row r="13" spans="1:11" x14ac:dyDescent="0.25">
      <c r="A13" s="6" t="s">
        <v>25</v>
      </c>
      <c r="B13" s="4">
        <f>_xlfn.XLOOKUP(A13,Sheet1!A2:A9,Sheet1!E2:E9)</f>
        <v>62000</v>
      </c>
      <c r="C13" s="7"/>
      <c r="D13" s="4" t="s">
        <v>15</v>
      </c>
      <c r="E13" s="8" t="str">
        <f>_xlfn.XLOOKUP(D13,Sheet1!B2:B9,Sheet1!D2:D9)</f>
        <v>Bangalore</v>
      </c>
    </row>
    <row r="14" spans="1:11" x14ac:dyDescent="0.25">
      <c r="A14" s="9"/>
      <c r="B14" s="7"/>
      <c r="C14" s="7"/>
      <c r="D14" s="7" t="e" cm="1">
        <f t="array" ref="D14">+B14:D24BC14:D82</f>
        <v>#NAME?</v>
      </c>
      <c r="E14" s="10"/>
    </row>
    <row r="15" spans="1:11" x14ac:dyDescent="0.25">
      <c r="A15" s="6" t="s">
        <v>45</v>
      </c>
      <c r="B15" s="4" t="s">
        <v>2</v>
      </c>
      <c r="C15" s="7"/>
      <c r="D15" s="4" t="s">
        <v>36</v>
      </c>
      <c r="E15" s="8" t="s">
        <v>1</v>
      </c>
    </row>
    <row r="16" spans="1:11" ht="17.25" x14ac:dyDescent="0.25">
      <c r="A16" s="18" t="s">
        <v>7</v>
      </c>
      <c r="B16" s="4" t="str">
        <f>_xlfn.XLOOKUP(A16,Sheet1!B2:B9,Sheet1!C2:C9)</f>
        <v>Sales</v>
      </c>
      <c r="C16" s="7"/>
      <c r="D16" s="4" t="s">
        <v>46</v>
      </c>
      <c r="E16" s="8" t="str">
        <f>IFERROR(_xlfn.XLOOKUP(D16,Sheet1!A2:A9,Sheet1!B2:B9),"Not Found")</f>
        <v>Not Found</v>
      </c>
    </row>
    <row r="17" spans="1:5" x14ac:dyDescent="0.25">
      <c r="A17" s="9"/>
      <c r="B17" s="7"/>
      <c r="C17" s="7"/>
      <c r="D17" s="7"/>
      <c r="E17" s="10"/>
    </row>
    <row r="18" spans="1:5" x14ac:dyDescent="0.25">
      <c r="A18" s="6" t="s">
        <v>47</v>
      </c>
      <c r="B18" s="4" t="s">
        <v>48</v>
      </c>
      <c r="C18" s="7"/>
      <c r="D18" s="7"/>
      <c r="E18" s="10"/>
    </row>
    <row r="19" spans="1:5" ht="15.75" thickBot="1" x14ac:dyDescent="0.3">
      <c r="A19" s="11" t="s">
        <v>49</v>
      </c>
      <c r="B19" s="19">
        <f>_xlfn.XLOOKUP(Lookups!A19,Sheet1!A12:F12,Sheet1!A13:F13)</f>
        <v>0.12</v>
      </c>
      <c r="C19" s="13"/>
      <c r="D19" s="13"/>
      <c r="E19" s="17"/>
    </row>
  </sheetData>
  <mergeCells count="3">
    <mergeCell ref="A1:E1"/>
    <mergeCell ref="G1:K1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2026-07-12T07:57:47Z</dcterms:created>
  <dcterms:modified xsi:type="dcterms:W3CDTF">2026-07-12T09:03:11Z</dcterms:modified>
</cp:coreProperties>
</file>