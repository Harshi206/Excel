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ibrary5\Downloads\DA 18 Harshi\"/>
    </mc:Choice>
  </mc:AlternateContent>
  <xr:revisionPtr revIDLastSave="0" documentId="13_ncr:1_{F65C4C3D-91BA-4DCD-AFE1-7BFA536EE681}" xr6:coauthVersionLast="47" xr6:coauthVersionMax="47" xr10:uidLastSave="{00000000-0000-0000-0000-000000000000}"/>
  <bookViews>
    <workbookView xWindow="-120" yWindow="-120" windowWidth="21840" windowHeight="13020" activeTab="3" xr2:uid="{00000000-000D-0000-FFFF-FFFF00000000}"/>
  </bookViews>
  <sheets>
    <sheet name="Instructions" sheetId="1" r:id="rId1"/>
    <sheet name="Sales_Data" sheetId="2" r:id="rId2"/>
    <sheet name="Product_Master" sheetId="3" r:id="rId3"/>
    <sheet name="Student_Marks" sheetId="4" r:id="rId4"/>
    <sheet name="Questions" sheetId="5" r:id="rId5"/>
    <sheet name="Answer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9" i="4" l="1"/>
  <c r="G3" i="4"/>
  <c r="G4" i="4"/>
  <c r="G5" i="4"/>
  <c r="G6" i="4"/>
  <c r="G2" i="4"/>
  <c r="L3" i="6"/>
  <c r="L4" i="6"/>
  <c r="L5" i="6"/>
  <c r="L6" i="6"/>
  <c r="L7" i="6"/>
  <c r="L2" i="6"/>
  <c r="K3" i="6"/>
  <c r="K4" i="6"/>
  <c r="K5" i="6"/>
  <c r="K6" i="6"/>
  <c r="K7" i="6"/>
  <c r="K2" i="6"/>
  <c r="B16" i="6"/>
  <c r="B15" i="6"/>
  <c r="B14" i="6"/>
  <c r="B13" i="6"/>
  <c r="B10" i="6"/>
  <c r="H4" i="6"/>
  <c r="H6" i="6"/>
  <c r="H7" i="6"/>
  <c r="I7" i="6" s="1"/>
  <c r="J7" i="6" s="1"/>
  <c r="H5" i="6"/>
  <c r="H3" i="6"/>
  <c r="H2" i="6"/>
  <c r="I2" i="6" s="1"/>
  <c r="J32" i="5"/>
  <c r="J5" i="6" l="1"/>
  <c r="I5" i="6"/>
  <c r="I3" i="6"/>
  <c r="J3" i="6" s="1"/>
  <c r="I6" i="6"/>
  <c r="J6" i="6" s="1"/>
  <c r="J2" i="6"/>
  <c r="I4" i="6"/>
  <c r="J4" i="6" s="1"/>
  <c r="B19" i="6" l="1"/>
  <c r="A19" i="6"/>
  <c r="J8" i="6"/>
</calcChain>
</file>

<file path=xl/sharedStrings.xml><?xml version="1.0" encoding="utf-8"?>
<sst xmlns="http://schemas.openxmlformats.org/spreadsheetml/2006/main" count="134" uniqueCount="88">
  <si>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</si>
  <si>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</si>
  <si>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</si>
  <si>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</si>
  <si>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</si>
  <si>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</si>
  <si>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</si>
  <si>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</si>
  <si>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</si>
  <si>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</si>
  <si>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</si>
  <si>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</si>
  <si>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</si>
  <si>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</si>
  <si>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</si>
  <si>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</si>
  <si>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</si>
  <si>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</si>
  <si>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</si>
  <si>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</si>
  <si>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</si>
  <si>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</si>
  <si>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</si>
  <si>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</si>
  <si>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</si>
  <si>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</si>
  <si>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</si>
  <si>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</si>
  <si>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</si>
  <si>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</si>
  <si>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</si>
  <si>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</si>
  <si>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</si>
  <si>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</si>
  <si>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</si>
  <si>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</si>
  <si>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</si>
  <si>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</si>
  <si>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</si>
  <si>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</si>
  <si>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</si>
  <si>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</si>
  <si>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</si>
  <si>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</si>
  <si>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</si>
  <si>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</si>
  <si>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</si>
  <si>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</si>
  <si>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</si>
  <si>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</si>
  <si>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</si>
  <si>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</si>
  <si>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</si>
  <si>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</si>
  <si>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</si>
  <si>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</si>
  <si>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</si>
  <si>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</si>
  <si>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</si>
  <si>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</si>
  <si>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</si>
  <si>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</si>
  <si>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</si>
  <si>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</si>
  <si>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</si>
  <si>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</si>
  <si>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</si>
  <si>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</si>
  <si>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</si>
  <si>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</si>
  <si>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</si>
  <si>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</si>
  <si>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</t>
  </si>
  <si>
    <t>A1 Total sales</t>
  </si>
  <si>
    <t>A2 GST Amount</t>
  </si>
  <si>
    <t>A3 Total Amt</t>
  </si>
  <si>
    <t xml:space="preserve">A4 Total </t>
  </si>
  <si>
    <t>A5 Total Order</t>
  </si>
  <si>
    <t xml:space="preserve">A6 Region wise Total </t>
  </si>
  <si>
    <t xml:space="preserve">East </t>
  </si>
  <si>
    <t>west</t>
  </si>
  <si>
    <t>A7 High &amp; Low</t>
  </si>
  <si>
    <t xml:space="preserve">A8 MAX </t>
  </si>
  <si>
    <t xml:space="preserve">A8 MIN </t>
  </si>
  <si>
    <t>A9 Month Name</t>
  </si>
  <si>
    <t>A12 AVG</t>
  </si>
  <si>
    <t>A13 Avg Max</t>
  </si>
  <si>
    <t xml:space="preserve">A14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</si>
</sst>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rgb="FFF0F6FC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0" fontId="0" fillId="2" borderId="2" xfId="0" applyFill="1" applyBorder="1"/>
    <xf numFmtId="0" fontId="0" fillId="2" borderId="3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43" fontId="0" fillId="2" borderId="3" xfId="1" applyFont="1" applyFill="1" applyBorder="1" applyAlignment="1">
      <alignment horizontal="center"/>
    </xf>
    <xf numFmtId="43" fontId="0" fillId="2" borderId="4" xfId="1" applyFont="1" applyFill="1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0" xfId="1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43" fontId="0" fillId="2" borderId="14" xfId="1" applyFont="1" applyFill="1" applyBorder="1" applyAlignment="1">
      <alignment horizontal="center"/>
    </xf>
    <xf numFmtId="0" fontId="0" fillId="0" borderId="1" xfId="0" applyBorder="1"/>
    <xf numFmtId="43" fontId="0" fillId="0" borderId="8" xfId="1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43" fontId="0" fillId="0" borderId="7" xfId="0" applyNumberFormat="1" applyBorder="1"/>
    <xf numFmtId="43" fontId="0" fillId="0" borderId="9" xfId="0" applyNumberFormat="1" applyBorder="1"/>
    <xf numFmtId="0" fontId="0" fillId="0" borderId="3" xfId="0" applyBorder="1"/>
    <xf numFmtId="0" fontId="0" fillId="0" borderId="8" xfId="0" applyBorder="1"/>
    <xf numFmtId="0" fontId="0" fillId="0" borderId="4" xfId="0" applyFill="1" applyBorder="1"/>
    <xf numFmtId="1" fontId="0" fillId="0" borderId="6" xfId="0" applyNumberFormat="1" applyBorder="1"/>
    <xf numFmtId="1" fontId="0" fillId="0" borderId="9" xfId="0" applyNumberFormat="1" applyBorder="1"/>
    <xf numFmtId="0" fontId="0" fillId="0" borderId="15" xfId="0" applyBorder="1"/>
    <xf numFmtId="1" fontId="0" fillId="0" borderId="16" xfId="0" applyNumberFormat="1" applyBorder="1"/>
    <xf numFmtId="0" fontId="3" fillId="0" borderId="0" xfId="0" applyFont="1" applyAlignment="1">
      <alignment horizontal="left" vertical="center" indent="2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I13" sqref="I13"/>
    </sheetView>
  </sheetViews>
  <sheetFormatPr defaultRowHeight="15" x14ac:dyDescent="0.25"/>
  <sheetData>
    <row r="1" spans="1:1" x14ac:dyDescent="0.25">
      <c r="A1" t="s">
        <v>72</v>
      </c>
    </row>
    <row r="2" spans="1:1" x14ac:dyDescent="0.25">
      <c r="A2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selection sqref="A1:H8"/>
    </sheetView>
  </sheetViews>
  <sheetFormatPr defaultRowHeight="15" x14ac:dyDescent="0.25"/>
  <sheetData>
    <row r="1" spans="1:7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x14ac:dyDescent="0.25">
      <c r="A2">
        <v>301</v>
      </c>
      <c r="B2" t="s">
        <v>11</v>
      </c>
      <c r="C2" t="s">
        <v>12</v>
      </c>
      <c r="D2" t="s">
        <v>13</v>
      </c>
      <c r="E2">
        <v>2</v>
      </c>
      <c r="F2">
        <v>45000</v>
      </c>
      <c r="G2" t="s">
        <v>14</v>
      </c>
    </row>
    <row r="3" spans="1:7" x14ac:dyDescent="0.25">
      <c r="A3">
        <v>302</v>
      </c>
      <c r="B3" t="s">
        <v>15</v>
      </c>
      <c r="C3" t="s">
        <v>16</v>
      </c>
      <c r="D3" t="s">
        <v>17</v>
      </c>
      <c r="E3">
        <v>5</v>
      </c>
      <c r="F3">
        <v>15000</v>
      </c>
      <c r="G3" t="s">
        <v>18</v>
      </c>
    </row>
    <row r="4" spans="1:7" x14ac:dyDescent="0.25">
      <c r="A4">
        <v>303</v>
      </c>
      <c r="B4" t="s">
        <v>19</v>
      </c>
      <c r="C4" t="s">
        <v>20</v>
      </c>
      <c r="D4" t="s">
        <v>21</v>
      </c>
      <c r="E4">
        <v>3</v>
      </c>
      <c r="F4">
        <v>18000</v>
      </c>
      <c r="G4" t="s">
        <v>22</v>
      </c>
    </row>
    <row r="5" spans="1:7" x14ac:dyDescent="0.25">
      <c r="A5">
        <v>304</v>
      </c>
      <c r="B5" t="s">
        <v>23</v>
      </c>
      <c r="C5" t="s">
        <v>24</v>
      </c>
      <c r="D5" t="s">
        <v>13</v>
      </c>
      <c r="E5">
        <v>1</v>
      </c>
      <c r="F5">
        <v>45000</v>
      </c>
      <c r="G5" t="s">
        <v>25</v>
      </c>
    </row>
    <row r="6" spans="1:7" x14ac:dyDescent="0.25">
      <c r="A6">
        <v>305</v>
      </c>
      <c r="B6" t="s">
        <v>11</v>
      </c>
      <c r="C6" t="s">
        <v>12</v>
      </c>
      <c r="D6" t="s">
        <v>17</v>
      </c>
      <c r="E6">
        <v>4</v>
      </c>
      <c r="F6">
        <v>15000</v>
      </c>
      <c r="G6" t="s">
        <v>26</v>
      </c>
    </row>
    <row r="7" spans="1:7" x14ac:dyDescent="0.25">
      <c r="A7">
        <v>306</v>
      </c>
      <c r="B7" t="s">
        <v>15</v>
      </c>
      <c r="C7" t="s">
        <v>16</v>
      </c>
      <c r="D7" t="s">
        <v>13</v>
      </c>
      <c r="E7">
        <v>2</v>
      </c>
      <c r="F7">
        <v>45000</v>
      </c>
      <c r="G7" t="s">
        <v>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sqref="A1:D4"/>
    </sheetView>
  </sheetViews>
  <sheetFormatPr defaultRowHeight="15" x14ac:dyDescent="0.25"/>
  <sheetData>
    <row r="1" spans="1:3" x14ac:dyDescent="0.25">
      <c r="A1" t="s">
        <v>7</v>
      </c>
      <c r="B1" t="s">
        <v>28</v>
      </c>
      <c r="C1" t="s">
        <v>29</v>
      </c>
    </row>
    <row r="2" spans="1:3" x14ac:dyDescent="0.25">
      <c r="A2" t="s">
        <v>13</v>
      </c>
      <c r="B2" t="s">
        <v>30</v>
      </c>
      <c r="C2">
        <v>18</v>
      </c>
    </row>
    <row r="3" spans="1:3" x14ac:dyDescent="0.25">
      <c r="A3" t="s">
        <v>17</v>
      </c>
      <c r="B3" t="s">
        <v>30</v>
      </c>
      <c r="C3">
        <v>12</v>
      </c>
    </row>
    <row r="4" spans="1:3" x14ac:dyDescent="0.25">
      <c r="A4" t="s">
        <v>21</v>
      </c>
      <c r="B4" t="s">
        <v>30</v>
      </c>
      <c r="C4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tabSelected="1" workbookViewId="0">
      <selection activeCell="A12" sqref="A12"/>
    </sheetView>
  </sheetViews>
  <sheetFormatPr defaultRowHeight="15" x14ac:dyDescent="0.25"/>
  <cols>
    <col min="1" max="1" width="12.140625" bestFit="1" customWidth="1"/>
    <col min="2" max="3" width="6.42578125" bestFit="1" customWidth="1"/>
    <col min="4" max="4" width="8.85546875" bestFit="1" customWidth="1"/>
    <col min="5" max="5" width="5.5703125" bestFit="1" customWidth="1"/>
    <col min="6" max="6" width="14" bestFit="1" customWidth="1"/>
  </cols>
  <sheetData>
    <row r="1" spans="1:7" x14ac:dyDescent="0.25">
      <c r="A1" s="22" t="s">
        <v>31</v>
      </c>
      <c r="B1" s="26" t="s">
        <v>32</v>
      </c>
      <c r="C1" s="26" t="s">
        <v>33</v>
      </c>
      <c r="D1" s="26" t="s">
        <v>34</v>
      </c>
      <c r="E1" s="26" t="s">
        <v>35</v>
      </c>
      <c r="F1" s="26" t="s">
        <v>36</v>
      </c>
      <c r="G1" s="28" t="s">
        <v>85</v>
      </c>
    </row>
    <row r="2" spans="1:7" x14ac:dyDescent="0.25">
      <c r="A2" s="3">
        <v>1</v>
      </c>
      <c r="B2" s="20" t="s">
        <v>37</v>
      </c>
      <c r="C2" s="20">
        <v>78</v>
      </c>
      <c r="D2" s="20">
        <v>82</v>
      </c>
      <c r="E2" s="20">
        <v>85</v>
      </c>
      <c r="F2" s="20">
        <v>92</v>
      </c>
      <c r="G2" s="29">
        <f>AVERAGE(C2:E2)</f>
        <v>81.666666666666671</v>
      </c>
    </row>
    <row r="3" spans="1:7" x14ac:dyDescent="0.25">
      <c r="A3" s="3">
        <v>2</v>
      </c>
      <c r="B3" s="20" t="s">
        <v>38</v>
      </c>
      <c r="C3" s="20">
        <v>88</v>
      </c>
      <c r="D3" s="20">
        <v>91</v>
      </c>
      <c r="E3" s="20">
        <v>90</v>
      </c>
      <c r="F3" s="20">
        <v>96</v>
      </c>
      <c r="G3" s="29">
        <f t="shared" ref="G3:G6" si="0">AVERAGE(C3:E3)</f>
        <v>89.666666666666671</v>
      </c>
    </row>
    <row r="4" spans="1:7" x14ac:dyDescent="0.25">
      <c r="A4" s="3">
        <v>3</v>
      </c>
      <c r="B4" s="20" t="s">
        <v>39</v>
      </c>
      <c r="C4" s="20">
        <v>65</v>
      </c>
      <c r="D4" s="20">
        <v>70</v>
      </c>
      <c r="E4" s="20">
        <v>72</v>
      </c>
      <c r="F4" s="20">
        <v>85</v>
      </c>
      <c r="G4" s="29">
        <f t="shared" si="0"/>
        <v>69</v>
      </c>
    </row>
    <row r="5" spans="1:7" x14ac:dyDescent="0.25">
      <c r="A5" s="3">
        <v>4</v>
      </c>
      <c r="B5" s="20" t="s">
        <v>40</v>
      </c>
      <c r="C5" s="20">
        <v>92</v>
      </c>
      <c r="D5" s="20">
        <v>89</v>
      </c>
      <c r="E5" s="20">
        <v>94</v>
      </c>
      <c r="F5" s="20">
        <v>98</v>
      </c>
      <c r="G5" s="29">
        <f t="shared" si="0"/>
        <v>91.666666666666671</v>
      </c>
    </row>
    <row r="6" spans="1:7" ht="15.75" thickBot="1" x14ac:dyDescent="0.3">
      <c r="A6" s="5">
        <v>5</v>
      </c>
      <c r="B6" s="27" t="s">
        <v>41</v>
      </c>
      <c r="C6" s="27">
        <v>55</v>
      </c>
      <c r="D6" s="27">
        <v>60</v>
      </c>
      <c r="E6" s="27">
        <v>58</v>
      </c>
      <c r="F6" s="27">
        <v>80</v>
      </c>
      <c r="G6" s="30">
        <f t="shared" si="0"/>
        <v>57.666666666666664</v>
      </c>
    </row>
    <row r="7" spans="1:7" ht="15.75" thickBot="1" x14ac:dyDescent="0.3"/>
    <row r="8" spans="1:7" x14ac:dyDescent="0.25">
      <c r="A8" s="31" t="s">
        <v>86</v>
      </c>
    </row>
    <row r="9" spans="1:7" ht="15.75" thickBot="1" x14ac:dyDescent="0.3">
      <c r="A9" s="32">
        <f>MAX(G2:G6)</f>
        <v>91.666666666666671</v>
      </c>
    </row>
    <row r="11" spans="1:7" x14ac:dyDescent="0.25">
      <c r="A11" t="s">
        <v>87</v>
      </c>
    </row>
    <row r="12" spans="1:7" x14ac:dyDescent="0.25">
      <c r="A12" s="33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topLeftCell="A10" workbookViewId="0">
      <selection activeCell="A14" sqref="A14:E14"/>
    </sheetView>
  </sheetViews>
  <sheetFormatPr defaultRowHeight="15" x14ac:dyDescent="0.25"/>
  <sheetData>
    <row r="1" spans="1:10" x14ac:dyDescent="0.25">
      <c r="A1" t="s">
        <v>42</v>
      </c>
      <c r="J1">
        <v>2</v>
      </c>
    </row>
    <row r="2" spans="1:10" x14ac:dyDescent="0.25">
      <c r="A2" t="s">
        <v>43</v>
      </c>
      <c r="J2">
        <v>2</v>
      </c>
    </row>
    <row r="3" spans="1:10" x14ac:dyDescent="0.25">
      <c r="A3" t="s">
        <v>44</v>
      </c>
      <c r="J3">
        <v>2</v>
      </c>
    </row>
    <row r="4" spans="1:10" x14ac:dyDescent="0.25">
      <c r="A4" t="s">
        <v>45</v>
      </c>
      <c r="J4">
        <v>2</v>
      </c>
    </row>
    <row r="5" spans="1:10" x14ac:dyDescent="0.25">
      <c r="A5" t="s">
        <v>46</v>
      </c>
      <c r="J5">
        <v>2</v>
      </c>
    </row>
    <row r="6" spans="1:10" x14ac:dyDescent="0.25">
      <c r="A6" t="s">
        <v>47</v>
      </c>
      <c r="J6">
        <v>2</v>
      </c>
    </row>
    <row r="7" spans="1:10" x14ac:dyDescent="0.25">
      <c r="A7" t="s">
        <v>48</v>
      </c>
      <c r="J7">
        <v>2</v>
      </c>
    </row>
    <row r="8" spans="1:10" x14ac:dyDescent="0.25">
      <c r="A8" t="s">
        <v>49</v>
      </c>
      <c r="J8">
        <v>2</v>
      </c>
    </row>
    <row r="9" spans="1:10" x14ac:dyDescent="0.25">
      <c r="A9" t="s">
        <v>50</v>
      </c>
      <c r="J9">
        <v>2</v>
      </c>
    </row>
    <row r="10" spans="1:10" x14ac:dyDescent="0.25">
      <c r="A10" t="s">
        <v>51</v>
      </c>
      <c r="J10">
        <v>2</v>
      </c>
    </row>
    <row r="11" spans="1:10" x14ac:dyDescent="0.25">
      <c r="A11" t="s">
        <v>52</v>
      </c>
      <c r="J11">
        <v>2</v>
      </c>
    </row>
    <row r="12" spans="1:10" x14ac:dyDescent="0.25">
      <c r="A12" t="s">
        <v>53</v>
      </c>
      <c r="J12">
        <v>2</v>
      </c>
    </row>
    <row r="13" spans="1:10" x14ac:dyDescent="0.25">
      <c r="A13" t="s">
        <v>54</v>
      </c>
      <c r="J13">
        <v>2</v>
      </c>
    </row>
    <row r="14" spans="1:10" x14ac:dyDescent="0.25">
      <c r="A14" t="s">
        <v>55</v>
      </c>
      <c r="J14">
        <v>2</v>
      </c>
    </row>
    <row r="15" spans="1:10" x14ac:dyDescent="0.25">
      <c r="A15" t="s">
        <v>56</v>
      </c>
      <c r="J15">
        <v>2</v>
      </c>
    </row>
    <row r="16" spans="1:10" x14ac:dyDescent="0.25">
      <c r="A16" t="s">
        <v>57</v>
      </c>
      <c r="J16">
        <v>2</v>
      </c>
    </row>
    <row r="17" spans="1:10" x14ac:dyDescent="0.25">
      <c r="A17" t="s">
        <v>58</v>
      </c>
      <c r="J17">
        <v>2</v>
      </c>
    </row>
    <row r="18" spans="1:10" x14ac:dyDescent="0.25">
      <c r="A18" t="s">
        <v>59</v>
      </c>
      <c r="J18">
        <v>2</v>
      </c>
    </row>
    <row r="19" spans="1:10" x14ac:dyDescent="0.25">
      <c r="A19" t="s">
        <v>60</v>
      </c>
      <c r="J19">
        <v>2</v>
      </c>
    </row>
    <row r="20" spans="1:10" x14ac:dyDescent="0.25">
      <c r="A20" t="s">
        <v>61</v>
      </c>
      <c r="J20">
        <v>2</v>
      </c>
    </row>
    <row r="21" spans="1:10" x14ac:dyDescent="0.25">
      <c r="A21" t="s">
        <v>62</v>
      </c>
      <c r="J21">
        <v>2</v>
      </c>
    </row>
    <row r="22" spans="1:10" x14ac:dyDescent="0.25">
      <c r="A22" t="s">
        <v>63</v>
      </c>
      <c r="J22">
        <v>2</v>
      </c>
    </row>
    <row r="23" spans="1:10" x14ac:dyDescent="0.25">
      <c r="A23" t="s">
        <v>64</v>
      </c>
      <c r="J23">
        <v>2</v>
      </c>
    </row>
    <row r="24" spans="1:10" x14ac:dyDescent="0.25">
      <c r="A24" t="s">
        <v>65</v>
      </c>
      <c r="J24">
        <v>2</v>
      </c>
    </row>
    <row r="25" spans="1:10" x14ac:dyDescent="0.25">
      <c r="A25" t="s">
        <v>66</v>
      </c>
      <c r="J25">
        <v>2</v>
      </c>
    </row>
    <row r="26" spans="1:10" x14ac:dyDescent="0.25">
      <c r="A26" t="s">
        <v>67</v>
      </c>
      <c r="J26">
        <v>2</v>
      </c>
    </row>
    <row r="27" spans="1:10" x14ac:dyDescent="0.25">
      <c r="A27" t="s">
        <v>68</v>
      </c>
      <c r="J27">
        <v>2</v>
      </c>
    </row>
    <row r="28" spans="1:10" x14ac:dyDescent="0.25">
      <c r="A28" t="s">
        <v>69</v>
      </c>
      <c r="J28">
        <v>2</v>
      </c>
    </row>
    <row r="29" spans="1:10" x14ac:dyDescent="0.25">
      <c r="A29" t="s">
        <v>70</v>
      </c>
      <c r="J29">
        <v>2</v>
      </c>
    </row>
    <row r="30" spans="1:10" x14ac:dyDescent="0.25">
      <c r="A30" t="s">
        <v>71</v>
      </c>
      <c r="J30">
        <v>2</v>
      </c>
    </row>
    <row r="32" spans="1:10" x14ac:dyDescent="0.25">
      <c r="J32">
        <f>SUM(J1:J30)</f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BCA3A-0CB3-4E6D-A410-745F4E22A8DA}">
  <dimension ref="A1:L19"/>
  <sheetViews>
    <sheetView workbookViewId="0">
      <selection activeCell="E26" sqref="E26"/>
    </sheetView>
  </sheetViews>
  <sheetFormatPr defaultRowHeight="15" x14ac:dyDescent="0.25"/>
  <cols>
    <col min="1" max="1" width="20" bestFit="1" customWidth="1"/>
    <col min="2" max="2" width="10" bestFit="1" customWidth="1"/>
    <col min="3" max="3" width="11.7109375" bestFit="1" customWidth="1"/>
    <col min="4" max="4" width="7.85546875" bestFit="1" customWidth="1"/>
    <col min="5" max="5" width="8.7109375" bestFit="1" customWidth="1"/>
    <col min="6" max="6" width="10.140625" bestFit="1" customWidth="1"/>
    <col min="7" max="7" width="10.7109375" bestFit="1" customWidth="1"/>
    <col min="8" max="8" width="14" style="10" bestFit="1" customWidth="1"/>
    <col min="9" max="9" width="15.5703125" style="10" bestFit="1" customWidth="1"/>
    <col min="10" max="10" width="13.28515625" style="10" bestFit="1" customWidth="1"/>
    <col min="11" max="11" width="14.5703125" bestFit="1" customWidth="1"/>
    <col min="12" max="12" width="16.28515625" bestFit="1" customWidth="1"/>
  </cols>
  <sheetData>
    <row r="1" spans="1:12" x14ac:dyDescent="0.25">
      <c r="A1" s="1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7" t="s">
        <v>73</v>
      </c>
      <c r="I1" s="7" t="s">
        <v>74</v>
      </c>
      <c r="J1" s="7" t="s">
        <v>75</v>
      </c>
      <c r="K1" s="8" t="s">
        <v>81</v>
      </c>
      <c r="L1" s="19" t="s">
        <v>84</v>
      </c>
    </row>
    <row r="2" spans="1:12" x14ac:dyDescent="0.25">
      <c r="A2" s="11">
        <v>301</v>
      </c>
      <c r="B2" s="12" t="s">
        <v>11</v>
      </c>
      <c r="C2" s="12" t="s">
        <v>12</v>
      </c>
      <c r="D2" s="12" t="s">
        <v>13</v>
      </c>
      <c r="E2" s="12">
        <v>2</v>
      </c>
      <c r="F2" s="12">
        <v>45000</v>
      </c>
      <c r="G2" s="12" t="s">
        <v>14</v>
      </c>
      <c r="H2" s="9">
        <f>E2*F2</f>
        <v>90000</v>
      </c>
      <c r="I2" s="9">
        <f>H2*VLOOKUP(D2,Product_Master!A2:C4,3,0)%</f>
        <v>16200</v>
      </c>
      <c r="J2" s="9">
        <f>H2+I2</f>
        <v>106200</v>
      </c>
      <c r="K2" s="4" t="str">
        <f>IF(E2&gt;3,"High","Low")</f>
        <v>Low</v>
      </c>
      <c r="L2" t="str">
        <f>TEXT(G2,"MMMM")</f>
        <v>January</v>
      </c>
    </row>
    <row r="3" spans="1:12" x14ac:dyDescent="0.25">
      <c r="A3" s="11">
        <v>306</v>
      </c>
      <c r="B3" s="12" t="s">
        <v>15</v>
      </c>
      <c r="C3" s="12" t="s">
        <v>16</v>
      </c>
      <c r="D3" s="12" t="s">
        <v>13</v>
      </c>
      <c r="E3" s="12">
        <v>2</v>
      </c>
      <c r="F3" s="12">
        <v>45000</v>
      </c>
      <c r="G3" s="12" t="s">
        <v>27</v>
      </c>
      <c r="H3" s="9">
        <f>E3*F3</f>
        <v>90000</v>
      </c>
      <c r="I3" s="9">
        <f>H3*VLOOKUP(D3,Product_Master!A1:C4,3,0)%</f>
        <v>16200</v>
      </c>
      <c r="J3" s="9">
        <f>H3+I3</f>
        <v>106200</v>
      </c>
      <c r="K3" s="4" t="str">
        <f t="shared" ref="K3:K7" si="0">IF(E3&gt;3,"High","Low")</f>
        <v>Low</v>
      </c>
      <c r="L3" t="str">
        <f t="shared" ref="L3:L7" si="1">TEXT(G3,"MMMM")</f>
        <v>January</v>
      </c>
    </row>
    <row r="4" spans="1:12" x14ac:dyDescent="0.25">
      <c r="A4" s="11">
        <v>302</v>
      </c>
      <c r="B4" s="12" t="s">
        <v>15</v>
      </c>
      <c r="C4" s="12" t="s">
        <v>16</v>
      </c>
      <c r="D4" s="12" t="s">
        <v>17</v>
      </c>
      <c r="E4" s="12">
        <v>5</v>
      </c>
      <c r="F4" s="12">
        <v>15000</v>
      </c>
      <c r="G4" s="12" t="s">
        <v>18</v>
      </c>
      <c r="H4" s="9">
        <f>E4*F4</f>
        <v>75000</v>
      </c>
      <c r="I4" s="9">
        <f>H4*VLOOKUP(D4,Product_Master!A3:C5,3,0)%</f>
        <v>9000</v>
      </c>
      <c r="J4" s="9">
        <f>H4+I4</f>
        <v>84000</v>
      </c>
      <c r="K4" s="4" t="str">
        <f t="shared" si="0"/>
        <v>High</v>
      </c>
      <c r="L4" t="str">
        <f t="shared" si="1"/>
        <v>January</v>
      </c>
    </row>
    <row r="5" spans="1:12" x14ac:dyDescent="0.25">
      <c r="A5" s="11">
        <v>305</v>
      </c>
      <c r="B5" s="12" t="s">
        <v>11</v>
      </c>
      <c r="C5" s="12" t="s">
        <v>12</v>
      </c>
      <c r="D5" s="12" t="s">
        <v>17</v>
      </c>
      <c r="E5" s="12">
        <v>4</v>
      </c>
      <c r="F5" s="12">
        <v>15000</v>
      </c>
      <c r="G5" s="12" t="s">
        <v>26</v>
      </c>
      <c r="H5" s="9">
        <f>E5*F5</f>
        <v>60000</v>
      </c>
      <c r="I5" s="9">
        <f>H5*VLOOKUP(D5,Product_Master!A2:C5,3,0)%</f>
        <v>7200</v>
      </c>
      <c r="J5" s="9">
        <f>H5+I5</f>
        <v>67200</v>
      </c>
      <c r="K5" s="4" t="str">
        <f t="shared" si="0"/>
        <v>High</v>
      </c>
      <c r="L5" t="str">
        <f t="shared" si="1"/>
        <v>January</v>
      </c>
    </row>
    <row r="6" spans="1:12" x14ac:dyDescent="0.25">
      <c r="A6" s="11">
        <v>303</v>
      </c>
      <c r="B6" s="12" t="s">
        <v>19</v>
      </c>
      <c r="C6" s="12" t="s">
        <v>20</v>
      </c>
      <c r="D6" s="12" t="s">
        <v>21</v>
      </c>
      <c r="E6" s="12">
        <v>3</v>
      </c>
      <c r="F6" s="12">
        <v>18000</v>
      </c>
      <c r="G6" s="12" t="s">
        <v>22</v>
      </c>
      <c r="H6" s="9">
        <f>E6*F6</f>
        <v>54000</v>
      </c>
      <c r="I6" s="9">
        <f>H6*VLOOKUP(D6,Product_Master!A4:C6,3,0)%</f>
        <v>6480</v>
      </c>
      <c r="J6" s="9">
        <f>H6+I6</f>
        <v>60480</v>
      </c>
      <c r="K6" s="4" t="str">
        <f t="shared" si="0"/>
        <v>Low</v>
      </c>
      <c r="L6" t="str">
        <f t="shared" si="1"/>
        <v>January</v>
      </c>
    </row>
    <row r="7" spans="1:12" x14ac:dyDescent="0.25">
      <c r="A7" s="11">
        <v>304</v>
      </c>
      <c r="B7" s="12" t="s">
        <v>23</v>
      </c>
      <c r="C7" s="12" t="s">
        <v>24</v>
      </c>
      <c r="D7" s="12" t="s">
        <v>13</v>
      </c>
      <c r="E7" s="12">
        <v>1</v>
      </c>
      <c r="F7" s="12">
        <v>45000</v>
      </c>
      <c r="G7" s="12" t="s">
        <v>25</v>
      </c>
      <c r="H7" s="9">
        <f>E7*F7</f>
        <v>45000</v>
      </c>
      <c r="I7" s="9">
        <f>H7*VLOOKUP(D7,Product_Master!A1:C4,3,0)%</f>
        <v>8100</v>
      </c>
      <c r="J7" s="9">
        <f>H7+I7</f>
        <v>53100</v>
      </c>
      <c r="K7" s="4" t="str">
        <f t="shared" si="0"/>
        <v>Low</v>
      </c>
      <c r="L7" t="str">
        <f t="shared" si="1"/>
        <v>January</v>
      </c>
    </row>
    <row r="8" spans="1:12" ht="27" thickBot="1" x14ac:dyDescent="0.45">
      <c r="A8" s="17" t="s">
        <v>76</v>
      </c>
      <c r="B8" s="18"/>
      <c r="C8" s="18"/>
      <c r="D8" s="18"/>
      <c r="E8" s="18"/>
      <c r="F8" s="18"/>
      <c r="G8" s="18"/>
      <c r="H8" s="18"/>
      <c r="I8" s="18"/>
      <c r="J8" s="21">
        <f>SUM(J2:J7)</f>
        <v>477180</v>
      </c>
      <c r="K8" s="6"/>
    </row>
    <row r="9" spans="1:12" ht="15.75" thickBot="1" x14ac:dyDescent="0.3"/>
    <row r="10" spans="1:12" ht="15.75" thickBot="1" x14ac:dyDescent="0.3">
      <c r="A10" s="13" t="s">
        <v>77</v>
      </c>
      <c r="B10" s="14">
        <f>COUNTA(E2:E7)</f>
        <v>6</v>
      </c>
    </row>
    <row r="11" spans="1:12" ht="15.75" thickBot="1" x14ac:dyDescent="0.3"/>
    <row r="12" spans="1:12" ht="15.75" thickBot="1" x14ac:dyDescent="0.3">
      <c r="A12" s="13" t="s">
        <v>78</v>
      </c>
      <c r="B12" s="14"/>
    </row>
    <row r="13" spans="1:12" x14ac:dyDescent="0.25">
      <c r="A13" s="15" t="s">
        <v>11</v>
      </c>
      <c r="B13" s="16">
        <f>SUMIF(B2:B7,"North",E2:E7)</f>
        <v>6</v>
      </c>
    </row>
    <row r="14" spans="1:12" x14ac:dyDescent="0.25">
      <c r="A14" s="3" t="s">
        <v>15</v>
      </c>
      <c r="B14" s="4">
        <f>SUMIF(B2:B7,"South",E2:E7)</f>
        <v>7</v>
      </c>
    </row>
    <row r="15" spans="1:12" x14ac:dyDescent="0.25">
      <c r="A15" s="3" t="s">
        <v>79</v>
      </c>
      <c r="B15" s="4">
        <f>SUMIF(B3:B8,"East",E3:E8)</f>
        <v>3</v>
      </c>
    </row>
    <row r="16" spans="1:12" ht="15.75" thickBot="1" x14ac:dyDescent="0.3">
      <c r="A16" s="5" t="s">
        <v>80</v>
      </c>
      <c r="B16" s="6">
        <f>SUMIF(B4:B9,"West",E4:E9)</f>
        <v>1</v>
      </c>
    </row>
    <row r="17" spans="1:2" ht="15.75" thickBot="1" x14ac:dyDescent="0.3"/>
    <row r="18" spans="1:2" x14ac:dyDescent="0.25">
      <c r="A18" s="22" t="s">
        <v>82</v>
      </c>
      <c r="B18" s="23" t="s">
        <v>83</v>
      </c>
    </row>
    <row r="19" spans="1:2" ht="15.75" thickBot="1" x14ac:dyDescent="0.3">
      <c r="A19" s="24">
        <f>MAX(Answer!J2:J7)</f>
        <v>106200</v>
      </c>
      <c r="B19" s="25">
        <f>MIN(J2:J7)</f>
        <v>53100</v>
      </c>
    </row>
  </sheetData>
  <sortState xmlns:xlrd2="http://schemas.microsoft.com/office/spreadsheetml/2017/richdata2" ref="A2:J7">
    <sortCondition descending="1" ref="J2:J7"/>
  </sortState>
  <mergeCells count="1">
    <mergeCell ref="A8:I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Sales_Data</vt:lpstr>
      <vt:lpstr>Product_Master</vt:lpstr>
      <vt:lpstr>Student_Marks</vt:lpstr>
      <vt:lpstr>Questions</vt:lpstr>
      <vt:lpstr>Answer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saksham2556@outlook.com</cp:lastModifiedBy>
  <dcterms:created xsi:type="dcterms:W3CDTF">2025-12-20T09:26:06Z</dcterms:created>
  <dcterms:modified xsi:type="dcterms:W3CDTF">2026-07-17T05:07:13Z</dcterms:modified>
</cp:coreProperties>
</file>