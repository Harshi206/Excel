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BAPS\Downloads\"/>
    </mc:Choice>
  </mc:AlternateContent>
  <xr:revisionPtr revIDLastSave="0" documentId="13_ncr:1_{C56DC295-79E3-4582-A26B-03AFE9A2E912}" xr6:coauthVersionLast="47" xr6:coauthVersionMax="47" xr10:uidLastSave="{00000000-0000-0000-0000-000000000000}"/>
  <bookViews>
    <workbookView xWindow="-110" yWindow="-110" windowWidth="19420" windowHeight="10300" activeTab="5" xr2:uid="{00000000-000D-0000-FFFF-FFFF00000000}"/>
  </bookViews>
  <sheets>
    <sheet name="Instructions" sheetId="1" r:id="rId1"/>
    <sheet name="Sales_Data" sheetId="2" r:id="rId2"/>
    <sheet name="Product_Master" sheetId="3" r:id="rId3"/>
    <sheet name="Student_Marks" sheetId="4" r:id="rId4"/>
    <sheet name="Questions" sheetId="5" r:id="rId5"/>
    <sheet name="Answer" sheetId="6" r:id="rId6"/>
  </sheets>
  <definedNames>
    <definedName name="_xlnm._FilterDatabase" localSheetId="5" hidden="1">Answer!$D$1:$E$8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2" l="1"/>
  <c r="E11" i="6" a="1"/>
  <c r="E11" i="6" s="1"/>
  <c r="C12" i="6"/>
  <c r="C13" i="6"/>
  <c r="C14" i="6"/>
  <c r="C15" i="6"/>
  <c r="C16" i="6"/>
  <c r="C11" i="6"/>
  <c r="I3" i="4"/>
  <c r="I4" i="4"/>
  <c r="I5" i="4"/>
  <c r="I6" i="4"/>
  <c r="I2" i="4"/>
  <c r="A15" i="4"/>
  <c r="H3" i="4"/>
  <c r="H4" i="4"/>
  <c r="H5" i="4"/>
  <c r="H6" i="4"/>
  <c r="H2" i="4"/>
  <c r="A12" i="4"/>
  <c r="A9" i="4"/>
  <c r="G3" i="4"/>
  <c r="G4" i="4"/>
  <c r="G5" i="4"/>
  <c r="G6" i="4"/>
  <c r="G2" i="4"/>
  <c r="L3" i="6"/>
  <c r="L4" i="6"/>
  <c r="L5" i="6"/>
  <c r="L6" i="6"/>
  <c r="L7" i="6"/>
  <c r="L2" i="6"/>
  <c r="K3" i="6"/>
  <c r="K4" i="6"/>
  <c r="K5" i="6"/>
  <c r="K6" i="6"/>
  <c r="K7" i="6"/>
  <c r="K2" i="6"/>
  <c r="B16" i="6"/>
  <c r="B15" i="6"/>
  <c r="B14" i="6"/>
  <c r="B13" i="6"/>
  <c r="B10" i="6"/>
  <c r="H4" i="6"/>
  <c r="H6" i="6"/>
  <c r="H7" i="6"/>
  <c r="I7" i="6" s="1"/>
  <c r="J7" i="6" s="1"/>
  <c r="H5" i="6"/>
  <c r="H3" i="6"/>
  <c r="H2" i="6"/>
  <c r="I2" i="6" s="1"/>
  <c r="J32" i="5"/>
  <c r="I5" i="6" l="1"/>
  <c r="J5" i="6" s="1"/>
  <c r="I3" i="6"/>
  <c r="J3" i="6" s="1"/>
  <c r="I6" i="6"/>
  <c r="J6" i="6" s="1"/>
  <c r="J2" i="6"/>
  <c r="I4" i="6"/>
  <c r="J4" i="6" s="1"/>
  <c r="B19" i="6" l="1"/>
  <c r="A19" i="6"/>
  <c r="J8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<sst xmlns="http://schemas.openxmlformats.org/spreadsheetml/2006/main" count="144" uniqueCount="96">
  <si>
    <t>Total Questions: 30</t>
  </si>
  <si>
    <t>Difficulty Level: Medium</t>
  </si>
  <si>
    <t>Syllabus: Formulas, Logical Functions, Lookups, INDEX-MATCH, Pivot Tables &amp; Charts, Data Analysis</t>
  </si>
  <si>
    <t>Attempt all questions using appropriate Excel tools/functions.</t>
  </si>
  <si>
    <t>Order_ID</t>
  </si>
  <si>
    <t>Region</t>
  </si>
  <si>
    <t>Salesperson</t>
  </si>
  <si>
    <t>Product</t>
  </si>
  <si>
    <t>Quantity</t>
  </si>
  <si>
    <t>Unit_Price</t>
  </si>
  <si>
    <t>Sales_Date</t>
  </si>
  <si>
    <t>North</t>
  </si>
  <si>
    <t>Amit</t>
  </si>
  <si>
    <t>Laptop</t>
  </si>
  <si>
    <t>05-01-2025</t>
  </si>
  <si>
    <t>South</t>
  </si>
  <si>
    <t>Riya</t>
  </si>
  <si>
    <t>Mobile</t>
  </si>
  <si>
    <t>07-01-2025</t>
  </si>
  <si>
    <t>East</t>
  </si>
  <si>
    <t>Kunal</t>
  </si>
  <si>
    <t>Tablet</t>
  </si>
  <si>
    <t>10-01-2025</t>
  </si>
  <si>
    <t>West</t>
  </si>
  <si>
    <t>Neha</t>
  </si>
  <si>
    <t>12-01-2025</t>
  </si>
  <si>
    <t>15-01-2025</t>
  </si>
  <si>
    <t>18-01-2025</t>
  </si>
  <si>
    <t>Category</t>
  </si>
  <si>
    <t>GST_%</t>
  </si>
  <si>
    <t>Electronics</t>
  </si>
  <si>
    <t>Student_ID</t>
  </si>
  <si>
    <t>Name</t>
  </si>
  <si>
    <t>Maths</t>
  </si>
  <si>
    <t>Statistics</t>
  </si>
  <si>
    <t>Excel</t>
  </si>
  <si>
    <t>Attendance_%</t>
  </si>
  <si>
    <t>Rahul</t>
  </si>
  <si>
    <t>Sneha</t>
  </si>
  <si>
    <t>Arjun</t>
  </si>
  <si>
    <t>Pooja</t>
  </si>
  <si>
    <t>Vikas</t>
  </si>
  <si>
    <t>1. Calculate Total Sales for each order (Quantity × Unit_Price).</t>
  </si>
  <si>
    <t>2. Calculate GST Amount using VLOOKUP from Product_Master.</t>
  </si>
  <si>
    <t>3. Find Final Amount payable (Total Sales + GST).</t>
  </si>
  <si>
    <t>4. Find Grand Total of Final Amount.</t>
  </si>
  <si>
    <t>5. Count total number of orders using COUNTA.</t>
  </si>
  <si>
    <t>6. Find Region-wise total sales using SUMIF.</t>
  </si>
  <si>
    <t>7. Use IF to classify Quantity as High (&gt;3) or Low (&lt;=3).</t>
  </si>
  <si>
    <t>8. Find the maximum and minimum Final Amount.</t>
  </si>
  <si>
    <t>9. Extract month name from Sales_Date.</t>
  </si>
  <si>
    <t>10. Sort Sales_Data by Final Amount (Descending).</t>
  </si>
  <si>
    <t>11. Use INDEX-MATCH to fetch Product Category.</t>
  </si>
  <si>
    <t>12. Calculate average marks of each student.</t>
  </si>
  <si>
    <t>13. Find the topper based on average marks.</t>
  </si>
  <si>
    <t>14. Count students with Attendance above 90%.</t>
  </si>
  <si>
    <t>15. Use IF to classify students as Eligible (Attendance &gt;= 85%).</t>
  </si>
  <si>
    <t>16. Create a Pivot Table showing Product-wise Total Sales.</t>
  </si>
  <si>
    <t>17. Create a Pivot Table showing Region-wise Total Sales.</t>
  </si>
  <si>
    <t>18. Insert a Pivot Chart for Product-wise Sales.</t>
  </si>
  <si>
    <t>19. Create a Bar Chart for Student Excel marks.</t>
  </si>
  <si>
    <t>20. Find Median of Statistics marks.</t>
  </si>
  <si>
    <t>21. Find Standard Deviation of Excel marks.</t>
  </si>
  <si>
    <t>22. Use CONCAT to combine Student_ID and Name.</t>
  </si>
  <si>
    <t>23. Use LEFT function to extract first 2 letters of Salesperson name.</t>
  </si>
  <si>
    <t>24. Apply Conditional Formatting to highlight Final Amount &gt; 60000.</t>
  </si>
  <si>
    <t>25. Filter orders where Product is Laptop and Quantity &gt; 1.</t>
  </si>
  <si>
    <t>26. Use COUNTIFS to count Laptop orders in North region.</t>
  </si>
  <si>
    <t>27. Use ROUND to round Unit_Price to nearest thousand.</t>
  </si>
  <si>
    <t>28. Remove duplicate records if present.</t>
  </si>
  <si>
    <t>29. Freeze top row in Sales_Data sheet.</t>
  </si>
  <si>
    <t>30. Protect the Student_Marks sheet.</t>
  </si>
  <si>
    <t>MS Excel Practical Exam</t>
  </si>
  <si>
    <t>A1 Total sales</t>
  </si>
  <si>
    <t>A2 GST Amount</t>
  </si>
  <si>
    <t>A3 Total Amt</t>
  </si>
  <si>
    <t xml:space="preserve">A4 Total </t>
  </si>
  <si>
    <t>A5 Total Order</t>
  </si>
  <si>
    <t xml:space="preserve">A6 Region wise Total </t>
  </si>
  <si>
    <t xml:space="preserve">East </t>
  </si>
  <si>
    <t>west</t>
  </si>
  <si>
    <t>A7 High &amp; Low</t>
  </si>
  <si>
    <t xml:space="preserve">A8 MAX </t>
  </si>
  <si>
    <t xml:space="preserve">A8 MIN </t>
  </si>
  <si>
    <t>A9 Month Name</t>
  </si>
  <si>
    <t>A12 AVG</t>
  </si>
  <si>
    <t>A13 Avg Max</t>
  </si>
  <si>
    <t>A14 CountIF</t>
  </si>
  <si>
    <t>A15</t>
  </si>
  <si>
    <t xml:space="preserve"> </t>
  </si>
  <si>
    <t>A20 Median</t>
  </si>
  <si>
    <t>A21</t>
  </si>
  <si>
    <t>A22 CONCAT</t>
  </si>
  <si>
    <t>A23</t>
  </si>
  <si>
    <t>A26</t>
  </si>
  <si>
    <t>4 5 6 8 to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</si>
</sst>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name val="Consolas"/>
      <family val="3"/>
    </font>
    <font>
      <sz val="11"/>
      <color rgb="FF1F232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58">
    <xf numFmtId="0" fontId="0" fillId="0" borderId="0" xfId="0"/>
    <xf numFmtId="0" fontId="0" fillId="2" borderId="2" xfId="0" applyFill="1" applyBorder="1"/>
    <xf numFmtId="0" fontId="0" fillId="2" borderId="3" xfId="0" applyFill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164" fontId="0" fillId="2" borderId="3" xfId="1" applyFont="1" applyFill="1" applyBorder="1" applyAlignment="1">
      <alignment horizontal="center"/>
    </xf>
    <xf numFmtId="164" fontId="0" fillId="2" borderId="4" xfId="1" applyFont="1" applyFill="1" applyBorder="1" applyAlignment="1">
      <alignment horizontal="center"/>
    </xf>
    <xf numFmtId="164" fontId="0" fillId="0" borderId="1" xfId="1" applyFont="1" applyBorder="1" applyAlignment="1">
      <alignment horizontal="center"/>
    </xf>
    <xf numFmtId="164" fontId="0" fillId="0" borderId="0" xfId="1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0" xfId="0" applyBorder="1"/>
    <xf numFmtId="0" fontId="0" fillId="0" borderId="11" xfId="0" applyBorder="1"/>
    <xf numFmtId="0" fontId="0" fillId="0" borderId="1" xfId="0" applyBorder="1"/>
    <xf numFmtId="164" fontId="0" fillId="0" borderId="8" xfId="1" applyFont="1" applyFill="1" applyBorder="1" applyAlignment="1">
      <alignment horizontal="center" vertical="center"/>
    </xf>
    <xf numFmtId="0" fontId="0" fillId="0" borderId="2" xfId="0" applyBorder="1"/>
    <xf numFmtId="0" fontId="0" fillId="0" borderId="4" xfId="0" applyBorder="1"/>
    <xf numFmtId="164" fontId="0" fillId="0" borderId="7" xfId="0" applyNumberFormat="1" applyBorder="1"/>
    <xf numFmtId="164" fontId="0" fillId="0" borderId="9" xfId="0" applyNumberFormat="1" applyBorder="1"/>
    <xf numFmtId="0" fontId="0" fillId="0" borderId="3" xfId="0" applyBorder="1"/>
    <xf numFmtId="0" fontId="0" fillId="0" borderId="8" xfId="0" applyBorder="1"/>
    <xf numFmtId="0" fontId="0" fillId="0" borderId="4" xfId="0" applyFill="1" applyBorder="1"/>
    <xf numFmtId="0" fontId="0" fillId="0" borderId="13" xfId="0" applyBorder="1"/>
    <xf numFmtId="1" fontId="0" fillId="0" borderId="14" xfId="0" applyNumberFormat="1" applyBorder="1"/>
    <xf numFmtId="0" fontId="3" fillId="0" borderId="14" xfId="0" applyFont="1" applyBorder="1" applyAlignment="1">
      <alignment horizontal="left" vertical="center" indent="2"/>
    </xf>
    <xf numFmtId="0" fontId="0" fillId="0" borderId="12" xfId="0" applyFill="1" applyBorder="1"/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1" fontId="0" fillId="0" borderId="1" xfId="0" applyNumberFormat="1" applyBorder="1"/>
    <xf numFmtId="0" fontId="0" fillId="0" borderId="3" xfId="0" applyFill="1" applyBorder="1"/>
    <xf numFmtId="0" fontId="4" fillId="0" borderId="6" xfId="0" applyFont="1" applyBorder="1" applyAlignment="1">
      <alignment horizontal="left" vertical="center" indent="1"/>
    </xf>
    <xf numFmtId="1" fontId="0" fillId="0" borderId="8" xfId="0" applyNumberFormat="1" applyBorder="1"/>
    <xf numFmtId="0" fontId="4" fillId="0" borderId="9" xfId="0" applyFont="1" applyBorder="1" applyAlignment="1">
      <alignment horizontal="left" vertical="center" indent="1"/>
    </xf>
    <xf numFmtId="0" fontId="0" fillId="0" borderId="14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32" xfId="0" applyBorder="1" applyAlignment="1">
      <alignment horizontal="left"/>
    </xf>
    <xf numFmtId="0" fontId="0" fillId="0" borderId="15" xfId="0" applyFill="1" applyBorder="1" applyAlignment="1"/>
    <xf numFmtId="0" fontId="4" fillId="0" borderId="14" xfId="0" applyFont="1" applyBorder="1" applyAlignment="1">
      <alignment horizontal="left" vertical="center" indent="1"/>
    </xf>
    <xf numFmtId="164" fontId="0" fillId="0" borderId="15" xfId="1" applyFont="1" applyBorder="1" applyAlignment="1">
      <alignment horizontal="center"/>
    </xf>
    <xf numFmtId="0" fontId="0" fillId="3" borderId="16" xfId="0" applyFill="1" applyBorder="1"/>
    <xf numFmtId="0" fontId="0" fillId="3" borderId="17" xfId="0" applyFill="1" applyBorder="1"/>
    <xf numFmtId="0" fontId="0" fillId="3" borderId="18" xfId="0" applyFill="1" applyBorder="1"/>
    <xf numFmtId="0" fontId="0" fillId="3" borderId="19" xfId="0" applyFill="1" applyBorder="1"/>
    <xf numFmtId="0" fontId="0" fillId="3" borderId="0" xfId="0" applyFill="1" applyBorder="1"/>
    <xf numFmtId="0" fontId="0" fillId="3" borderId="20" xfId="0" applyFill="1" applyBorder="1"/>
    <xf numFmtId="0" fontId="0" fillId="3" borderId="21" xfId="0" applyFill="1" applyBorder="1"/>
    <xf numFmtId="0" fontId="0" fillId="3" borderId="22" xfId="0" applyFill="1" applyBorder="1"/>
    <xf numFmtId="0" fontId="0" fillId="3" borderId="23" xfId="0" applyFill="1" applyBorder="1"/>
    <xf numFmtId="0" fontId="0" fillId="3" borderId="24" xfId="0" applyFill="1" applyBorder="1"/>
    <xf numFmtId="0" fontId="0" fillId="3" borderId="25" xfId="0" applyFill="1" applyBorder="1"/>
    <xf numFmtId="0" fontId="0" fillId="3" borderId="26" xfId="0" applyFill="1" applyBorder="1"/>
  </cellXfs>
  <cellStyles count="2">
    <cellStyle name="Comma" xfId="1" builtinId="3"/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"/>
  <sheetViews>
    <sheetView workbookViewId="0">
      <selection activeCell="I13" sqref="I13"/>
    </sheetView>
  </sheetViews>
  <sheetFormatPr defaultRowHeight="14.5" x14ac:dyDescent="0.35"/>
  <sheetData>
    <row r="1" spans="1:1" x14ac:dyDescent="0.35">
      <c r="A1" t="s">
        <v>72</v>
      </c>
    </row>
    <row r="2" spans="1:1" x14ac:dyDescent="0.35">
      <c r="A2" t="s">
        <v>0</v>
      </c>
    </row>
    <row r="3" spans="1:1" x14ac:dyDescent="0.35">
      <c r="A3" t="s">
        <v>1</v>
      </c>
    </row>
    <row r="4" spans="1:1" x14ac:dyDescent="0.35">
      <c r="A4" t="s">
        <v>2</v>
      </c>
    </row>
    <row r="5" spans="1:1" x14ac:dyDescent="0.35">
      <c r="A5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"/>
  <sheetViews>
    <sheetView workbookViewId="0">
      <selection activeCell="Q15" sqref="Q15"/>
    </sheetView>
  </sheetViews>
  <sheetFormatPr defaultRowHeight="14.5" x14ac:dyDescent="0.35"/>
  <sheetData>
    <row r="1" spans="1:7" x14ac:dyDescent="0.35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</row>
    <row r="2" spans="1:7" x14ac:dyDescent="0.35">
      <c r="A2">
        <v>301</v>
      </c>
      <c r="B2" t="s">
        <v>11</v>
      </c>
      <c r="C2" t="s">
        <v>12</v>
      </c>
      <c r="D2" t="s">
        <v>13</v>
      </c>
      <c r="E2">
        <v>2</v>
      </c>
      <c r="F2">
        <v>45000</v>
      </c>
      <c r="G2" t="s">
        <v>14</v>
      </c>
    </row>
    <row r="3" spans="1:7" x14ac:dyDescent="0.35">
      <c r="A3">
        <v>302</v>
      </c>
      <c r="B3" t="s">
        <v>15</v>
      </c>
      <c r="C3" t="s">
        <v>16</v>
      </c>
      <c r="D3" t="s">
        <v>17</v>
      </c>
      <c r="E3">
        <v>5</v>
      </c>
      <c r="F3">
        <v>15000</v>
      </c>
      <c r="G3" t="s">
        <v>18</v>
      </c>
    </row>
    <row r="4" spans="1:7" x14ac:dyDescent="0.35">
      <c r="A4">
        <v>303</v>
      </c>
      <c r="B4" t="s">
        <v>19</v>
      </c>
      <c r="C4" t="s">
        <v>20</v>
      </c>
      <c r="D4" t="s">
        <v>21</v>
      </c>
      <c r="E4">
        <v>3</v>
      </c>
      <c r="F4">
        <v>18000</v>
      </c>
      <c r="G4" t="s">
        <v>22</v>
      </c>
    </row>
    <row r="5" spans="1:7" x14ac:dyDescent="0.35">
      <c r="A5">
        <v>304</v>
      </c>
      <c r="B5" t="s">
        <v>23</v>
      </c>
      <c r="C5" t="s">
        <v>24</v>
      </c>
      <c r="D5" t="s">
        <v>13</v>
      </c>
      <c r="E5">
        <v>1</v>
      </c>
      <c r="F5">
        <v>45000</v>
      </c>
      <c r="G5" t="s">
        <v>25</v>
      </c>
    </row>
    <row r="6" spans="1:7" x14ac:dyDescent="0.35">
      <c r="A6">
        <v>305</v>
      </c>
      <c r="B6" t="s">
        <v>11</v>
      </c>
      <c r="C6" t="s">
        <v>12</v>
      </c>
      <c r="D6" t="s">
        <v>17</v>
      </c>
      <c r="E6">
        <v>4</v>
      </c>
      <c r="F6">
        <v>15000</v>
      </c>
      <c r="G6" t="s">
        <v>26</v>
      </c>
    </row>
    <row r="7" spans="1:7" x14ac:dyDescent="0.35">
      <c r="A7">
        <v>306</v>
      </c>
      <c r="B7" t="s">
        <v>15</v>
      </c>
      <c r="C7" t="s">
        <v>16</v>
      </c>
      <c r="D7" t="s">
        <v>13</v>
      </c>
      <c r="E7">
        <v>2</v>
      </c>
      <c r="F7">
        <v>45000</v>
      </c>
      <c r="G7" t="s">
        <v>27</v>
      </c>
    </row>
    <row r="8" spans="1:7" ht="15" thickBot="1" x14ac:dyDescent="0.4"/>
    <row r="9" spans="1:7" x14ac:dyDescent="0.35">
      <c r="A9" s="24" t="s">
        <v>94</v>
      </c>
    </row>
    <row r="10" spans="1:7" ht="15" thickBot="1" x14ac:dyDescent="0.4">
      <c r="A10" s="44">
        <f>COUNTIFS(D2:D7,"Laptop", B2:B7,"North")</f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>
      <selection sqref="A1:D4"/>
    </sheetView>
  </sheetViews>
  <sheetFormatPr defaultRowHeight="14.5" x14ac:dyDescent="0.35"/>
  <sheetData>
    <row r="1" spans="1:3" x14ac:dyDescent="0.35">
      <c r="A1" t="s">
        <v>7</v>
      </c>
      <c r="B1" t="s">
        <v>28</v>
      </c>
      <c r="C1" t="s">
        <v>29</v>
      </c>
    </row>
    <row r="2" spans="1:3" x14ac:dyDescent="0.35">
      <c r="A2" t="s">
        <v>13</v>
      </c>
      <c r="B2" t="s">
        <v>30</v>
      </c>
      <c r="C2">
        <v>18</v>
      </c>
    </row>
    <row r="3" spans="1:3" x14ac:dyDescent="0.35">
      <c r="A3" t="s">
        <v>17</v>
      </c>
      <c r="B3" t="s">
        <v>30</v>
      </c>
      <c r="C3">
        <v>12</v>
      </c>
    </row>
    <row r="4" spans="1:3" x14ac:dyDescent="0.35">
      <c r="A4" t="s">
        <v>21</v>
      </c>
      <c r="B4" t="s">
        <v>30</v>
      </c>
      <c r="C4">
        <v>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7"/>
  <sheetViews>
    <sheetView workbookViewId="0">
      <selection activeCell="J3" sqref="J3"/>
    </sheetView>
  </sheetViews>
  <sheetFormatPr defaultRowHeight="14.5" x14ac:dyDescent="0.35"/>
  <cols>
    <col min="1" max="1" width="12.1796875" bestFit="1" customWidth="1"/>
    <col min="2" max="3" width="6.453125" bestFit="1" customWidth="1"/>
    <col min="4" max="4" width="8.81640625" bestFit="1" customWidth="1"/>
    <col min="5" max="5" width="5.54296875" bestFit="1" customWidth="1"/>
    <col min="6" max="6" width="14" bestFit="1" customWidth="1"/>
    <col min="8" max="8" width="11.54296875" bestFit="1" customWidth="1"/>
    <col min="9" max="9" width="11.453125" bestFit="1" customWidth="1"/>
  </cols>
  <sheetData>
    <row r="1" spans="1:9" x14ac:dyDescent="0.35">
      <c r="A1" s="17" t="s">
        <v>31</v>
      </c>
      <c r="B1" s="21" t="s">
        <v>32</v>
      </c>
      <c r="C1" s="21" t="s">
        <v>33</v>
      </c>
      <c r="D1" s="21" t="s">
        <v>34</v>
      </c>
      <c r="E1" s="21" t="s">
        <v>35</v>
      </c>
      <c r="F1" s="21" t="s">
        <v>36</v>
      </c>
      <c r="G1" s="31" t="s">
        <v>85</v>
      </c>
      <c r="H1" s="23" t="s">
        <v>88</v>
      </c>
      <c r="I1" s="27" t="s">
        <v>92</v>
      </c>
    </row>
    <row r="2" spans="1:9" x14ac:dyDescent="0.35">
      <c r="A2" s="3">
        <v>1</v>
      </c>
      <c r="B2" s="15" t="s">
        <v>37</v>
      </c>
      <c r="C2" s="15">
        <v>78</v>
      </c>
      <c r="D2" s="15">
        <v>82</v>
      </c>
      <c r="E2" s="15">
        <v>85</v>
      </c>
      <c r="F2" s="15">
        <v>92</v>
      </c>
      <c r="G2" s="30">
        <f>AVERAGE(C2:E2)</f>
        <v>81.666666666666671</v>
      </c>
      <c r="H2" s="32" t="str">
        <f>IF(F2&gt;=85,"Eliglible","Not Eligible")</f>
        <v>Eliglible</v>
      </c>
      <c r="I2" t="str">
        <f>_xlfn.CONCAT(A2,B2)</f>
        <v>1Rahul</v>
      </c>
    </row>
    <row r="3" spans="1:9" x14ac:dyDescent="0.35">
      <c r="A3" s="3">
        <v>2</v>
      </c>
      <c r="B3" s="15" t="s">
        <v>38</v>
      </c>
      <c r="C3" s="15">
        <v>88</v>
      </c>
      <c r="D3" s="15">
        <v>91</v>
      </c>
      <c r="E3" s="15">
        <v>90</v>
      </c>
      <c r="F3" s="15">
        <v>96</v>
      </c>
      <c r="G3" s="30">
        <f t="shared" ref="G3:G6" si="0">AVERAGE(C3:E3)</f>
        <v>89.666666666666671</v>
      </c>
      <c r="H3" s="32" t="str">
        <f t="shared" ref="H3:H6" si="1">IF(F3&gt;=85,"Eliglible","Not Eligible")</f>
        <v>Eliglible</v>
      </c>
      <c r="I3" t="str">
        <f t="shared" ref="I3:I6" si="2">_xlfn.CONCAT(A3,B3)</f>
        <v>2Sneha</v>
      </c>
    </row>
    <row r="4" spans="1:9" x14ac:dyDescent="0.35">
      <c r="A4" s="3">
        <v>3</v>
      </c>
      <c r="B4" s="15" t="s">
        <v>39</v>
      </c>
      <c r="C4" s="15">
        <v>65</v>
      </c>
      <c r="D4" s="15">
        <v>70</v>
      </c>
      <c r="E4" s="15">
        <v>72</v>
      </c>
      <c r="F4" s="15">
        <v>85</v>
      </c>
      <c r="G4" s="30">
        <f t="shared" si="0"/>
        <v>69</v>
      </c>
      <c r="H4" s="32" t="str">
        <f t="shared" si="1"/>
        <v>Eliglible</v>
      </c>
      <c r="I4" t="str">
        <f t="shared" si="2"/>
        <v>3Arjun</v>
      </c>
    </row>
    <row r="5" spans="1:9" x14ac:dyDescent="0.35">
      <c r="A5" s="3">
        <v>4</v>
      </c>
      <c r="B5" s="15" t="s">
        <v>40</v>
      </c>
      <c r="C5" s="15">
        <v>92</v>
      </c>
      <c r="D5" s="15">
        <v>89</v>
      </c>
      <c r="E5" s="15">
        <v>94</v>
      </c>
      <c r="F5" s="15">
        <v>98</v>
      </c>
      <c r="G5" s="30">
        <f t="shared" si="0"/>
        <v>91.666666666666671</v>
      </c>
      <c r="H5" s="32" t="str">
        <f t="shared" si="1"/>
        <v>Eliglible</v>
      </c>
      <c r="I5" t="str">
        <f t="shared" si="2"/>
        <v>4Pooja</v>
      </c>
    </row>
    <row r="6" spans="1:9" ht="15" thickBot="1" x14ac:dyDescent="0.4">
      <c r="A6" s="5">
        <v>5</v>
      </c>
      <c r="B6" s="22" t="s">
        <v>41</v>
      </c>
      <c r="C6" s="22">
        <v>55</v>
      </c>
      <c r="D6" s="22">
        <v>60</v>
      </c>
      <c r="E6" s="22">
        <v>58</v>
      </c>
      <c r="F6" s="22">
        <v>80</v>
      </c>
      <c r="G6" s="33">
        <f t="shared" si="0"/>
        <v>57.666666666666664</v>
      </c>
      <c r="H6" s="34" t="str">
        <f t="shared" si="1"/>
        <v>Not Eligible</v>
      </c>
      <c r="I6" t="str">
        <f t="shared" si="2"/>
        <v>5Vikas</v>
      </c>
    </row>
    <row r="7" spans="1:9" ht="15" thickBot="1" x14ac:dyDescent="0.4"/>
    <row r="8" spans="1:9" x14ac:dyDescent="0.35">
      <c r="A8" s="24" t="s">
        <v>86</v>
      </c>
    </row>
    <row r="9" spans="1:9" ht="15" thickBot="1" x14ac:dyDescent="0.4">
      <c r="A9" s="25">
        <f>MAX(G2:G6)</f>
        <v>91.666666666666671</v>
      </c>
    </row>
    <row r="10" spans="1:9" ht="15" thickBot="1" x14ac:dyDescent="0.4"/>
    <row r="11" spans="1:9" x14ac:dyDescent="0.35">
      <c r="A11" s="24" t="s">
        <v>87</v>
      </c>
    </row>
    <row r="12" spans="1:9" ht="15" thickBot="1" x14ac:dyDescent="0.4">
      <c r="A12" s="26">
        <f>COUNTIF(F2:F6,"&gt;90")</f>
        <v>3</v>
      </c>
    </row>
    <row r="13" spans="1:9" ht="15" thickBot="1" x14ac:dyDescent="0.4"/>
    <row r="14" spans="1:9" x14ac:dyDescent="0.35">
      <c r="A14" s="24" t="s">
        <v>90</v>
      </c>
    </row>
    <row r="15" spans="1:9" ht="15" thickBot="1" x14ac:dyDescent="0.4">
      <c r="A15" s="35">
        <f>MEDIAN(C2:E6)</f>
        <v>82</v>
      </c>
    </row>
    <row r="17" spans="1:1" x14ac:dyDescent="0.35">
      <c r="A17" t="s">
        <v>91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2"/>
  <sheetViews>
    <sheetView topLeftCell="A13" workbookViewId="0">
      <selection activeCell="I21" sqref="I21"/>
    </sheetView>
  </sheetViews>
  <sheetFormatPr defaultRowHeight="14.5" x14ac:dyDescent="0.35"/>
  <sheetData>
    <row r="1" spans="1:10" x14ac:dyDescent="0.35">
      <c r="A1" t="s">
        <v>42</v>
      </c>
      <c r="J1">
        <v>2</v>
      </c>
    </row>
    <row r="2" spans="1:10" x14ac:dyDescent="0.35">
      <c r="A2" t="s">
        <v>43</v>
      </c>
      <c r="J2">
        <v>2</v>
      </c>
    </row>
    <row r="3" spans="1:10" x14ac:dyDescent="0.35">
      <c r="A3" t="s">
        <v>44</v>
      </c>
      <c r="J3">
        <v>2</v>
      </c>
    </row>
    <row r="4" spans="1:10" x14ac:dyDescent="0.35">
      <c r="A4" t="s">
        <v>45</v>
      </c>
      <c r="J4">
        <v>2</v>
      </c>
    </row>
    <row r="5" spans="1:10" x14ac:dyDescent="0.35">
      <c r="A5" t="s">
        <v>46</v>
      </c>
      <c r="J5">
        <v>2</v>
      </c>
    </row>
    <row r="6" spans="1:10" x14ac:dyDescent="0.35">
      <c r="A6" t="s">
        <v>47</v>
      </c>
      <c r="J6">
        <v>2</v>
      </c>
    </row>
    <row r="7" spans="1:10" x14ac:dyDescent="0.35">
      <c r="A7" t="s">
        <v>48</v>
      </c>
      <c r="J7">
        <v>2</v>
      </c>
    </row>
    <row r="8" spans="1:10" x14ac:dyDescent="0.35">
      <c r="A8" t="s">
        <v>49</v>
      </c>
      <c r="J8">
        <v>2</v>
      </c>
    </row>
    <row r="9" spans="1:10" x14ac:dyDescent="0.35">
      <c r="A9" t="s">
        <v>50</v>
      </c>
      <c r="J9">
        <v>2</v>
      </c>
    </row>
    <row r="10" spans="1:10" x14ac:dyDescent="0.35">
      <c r="A10" t="s">
        <v>51</v>
      </c>
      <c r="J10">
        <v>2</v>
      </c>
    </row>
    <row r="11" spans="1:10" x14ac:dyDescent="0.35">
      <c r="A11" t="s">
        <v>52</v>
      </c>
      <c r="J11">
        <v>2</v>
      </c>
    </row>
    <row r="12" spans="1:10" x14ac:dyDescent="0.35">
      <c r="A12" t="s">
        <v>53</v>
      </c>
      <c r="J12">
        <v>2</v>
      </c>
    </row>
    <row r="13" spans="1:10" x14ac:dyDescent="0.35">
      <c r="A13" t="s">
        <v>54</v>
      </c>
      <c r="J13">
        <v>2</v>
      </c>
    </row>
    <row r="14" spans="1:10" x14ac:dyDescent="0.35">
      <c r="A14" t="s">
        <v>55</v>
      </c>
      <c r="J14">
        <v>2</v>
      </c>
    </row>
    <row r="15" spans="1:10" ht="15" thickBot="1" x14ac:dyDescent="0.4">
      <c r="A15" t="s">
        <v>56</v>
      </c>
      <c r="J15">
        <v>2</v>
      </c>
    </row>
    <row r="16" spans="1:10" x14ac:dyDescent="0.35">
      <c r="A16" s="46" t="s">
        <v>57</v>
      </c>
      <c r="B16" s="47"/>
      <c r="C16" s="47"/>
      <c r="D16" s="47"/>
      <c r="E16" s="47"/>
      <c r="F16" s="48"/>
      <c r="J16">
        <v>2</v>
      </c>
    </row>
    <row r="17" spans="1:10" x14ac:dyDescent="0.35">
      <c r="A17" s="49" t="s">
        <v>58</v>
      </c>
      <c r="B17" s="50"/>
      <c r="C17" s="50"/>
      <c r="D17" s="50"/>
      <c r="E17" s="50"/>
      <c r="F17" s="51"/>
      <c r="J17">
        <v>2</v>
      </c>
    </row>
    <row r="18" spans="1:10" x14ac:dyDescent="0.35">
      <c r="A18" s="49" t="s">
        <v>59</v>
      </c>
      <c r="B18" s="50"/>
      <c r="C18" s="50"/>
      <c r="D18" s="50"/>
      <c r="E18" s="50"/>
      <c r="F18" s="51"/>
      <c r="J18">
        <v>2</v>
      </c>
    </row>
    <row r="19" spans="1:10" ht="15" thickBot="1" x14ac:dyDescent="0.4">
      <c r="A19" s="52" t="s">
        <v>60</v>
      </c>
      <c r="B19" s="53"/>
      <c r="C19" s="53"/>
      <c r="D19" s="53"/>
      <c r="E19" s="53"/>
      <c r="F19" s="54"/>
      <c r="J19">
        <v>2</v>
      </c>
    </row>
    <row r="20" spans="1:10" ht="15" thickBot="1" x14ac:dyDescent="0.4">
      <c r="A20" t="s">
        <v>61</v>
      </c>
      <c r="J20">
        <v>2</v>
      </c>
    </row>
    <row r="21" spans="1:10" ht="15" thickBot="1" x14ac:dyDescent="0.4">
      <c r="A21" s="55" t="s">
        <v>62</v>
      </c>
      <c r="B21" s="56"/>
      <c r="C21" s="56"/>
      <c r="D21" s="56"/>
      <c r="E21" s="56"/>
      <c r="F21" s="56"/>
      <c r="G21" s="57"/>
      <c r="J21">
        <v>2</v>
      </c>
    </row>
    <row r="22" spans="1:10" x14ac:dyDescent="0.35">
      <c r="A22" t="s">
        <v>63</v>
      </c>
      <c r="J22">
        <v>2</v>
      </c>
    </row>
    <row r="23" spans="1:10" x14ac:dyDescent="0.35">
      <c r="A23" t="s">
        <v>64</v>
      </c>
      <c r="H23" t="s">
        <v>89</v>
      </c>
      <c r="J23">
        <v>2</v>
      </c>
    </row>
    <row r="24" spans="1:10" x14ac:dyDescent="0.35">
      <c r="A24" t="s">
        <v>65</v>
      </c>
      <c r="J24">
        <v>2</v>
      </c>
    </row>
    <row r="25" spans="1:10" x14ac:dyDescent="0.35">
      <c r="A25" t="s">
        <v>66</v>
      </c>
      <c r="J25">
        <v>2</v>
      </c>
    </row>
    <row r="26" spans="1:10" ht="15" thickBot="1" x14ac:dyDescent="0.4">
      <c r="A26" t="s">
        <v>67</v>
      </c>
      <c r="J26">
        <v>2</v>
      </c>
    </row>
    <row r="27" spans="1:10" x14ac:dyDescent="0.35">
      <c r="A27" s="46" t="s">
        <v>68</v>
      </c>
      <c r="B27" s="47"/>
      <c r="C27" s="47"/>
      <c r="D27" s="47"/>
      <c r="E27" s="47"/>
      <c r="F27" s="48"/>
      <c r="I27" t="s">
        <v>89</v>
      </c>
      <c r="J27">
        <v>2</v>
      </c>
    </row>
    <row r="28" spans="1:10" x14ac:dyDescent="0.35">
      <c r="A28" s="49" t="s">
        <v>69</v>
      </c>
      <c r="B28" s="50"/>
      <c r="C28" s="50"/>
      <c r="D28" s="50"/>
      <c r="E28" s="50"/>
      <c r="F28" s="51"/>
      <c r="J28">
        <v>2</v>
      </c>
    </row>
    <row r="29" spans="1:10" x14ac:dyDescent="0.35">
      <c r="A29" s="49" t="s">
        <v>70</v>
      </c>
      <c r="B29" s="50"/>
      <c r="C29" s="50"/>
      <c r="D29" s="50"/>
      <c r="E29" s="50"/>
      <c r="F29" s="51"/>
      <c r="J29">
        <v>2</v>
      </c>
    </row>
    <row r="30" spans="1:10" ht="15" thickBot="1" x14ac:dyDescent="0.4">
      <c r="A30" s="52" t="s">
        <v>71</v>
      </c>
      <c r="B30" s="53"/>
      <c r="C30" s="53"/>
      <c r="D30" s="53"/>
      <c r="E30" s="53"/>
      <c r="F30" s="54"/>
      <c r="J30">
        <v>2</v>
      </c>
    </row>
    <row r="32" spans="1:10" x14ac:dyDescent="0.35">
      <c r="J32">
        <f>SUM(J1:J30)</f>
        <v>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BCA3A-0CB3-4E6D-A410-745F4E22A8DA}">
  <dimension ref="A1:L19"/>
  <sheetViews>
    <sheetView tabSelected="1" topLeftCell="C1" workbookViewId="0">
      <selection activeCell="K17" sqref="K17"/>
    </sheetView>
  </sheetViews>
  <sheetFormatPr defaultRowHeight="14.5" x14ac:dyDescent="0.35"/>
  <cols>
    <col min="1" max="1" width="20" bestFit="1" customWidth="1"/>
    <col min="2" max="2" width="10" bestFit="1" customWidth="1"/>
    <col min="3" max="3" width="11.7265625" bestFit="1" customWidth="1"/>
    <col min="4" max="4" width="7.81640625" bestFit="1" customWidth="1"/>
    <col min="5" max="5" width="8.7265625" bestFit="1" customWidth="1"/>
    <col min="6" max="6" width="10.1796875" bestFit="1" customWidth="1"/>
    <col min="7" max="7" width="10.7265625" bestFit="1" customWidth="1"/>
    <col min="8" max="8" width="14" style="10" bestFit="1" customWidth="1"/>
    <col min="9" max="9" width="15.54296875" style="10" bestFit="1" customWidth="1"/>
    <col min="10" max="10" width="13.26953125" style="10" bestFit="1" customWidth="1"/>
    <col min="11" max="11" width="14.54296875" bestFit="1" customWidth="1"/>
    <col min="12" max="12" width="16.26953125" bestFit="1" customWidth="1"/>
  </cols>
  <sheetData>
    <row r="1" spans="1:12" x14ac:dyDescent="0.35">
      <c r="A1" s="1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7" t="s">
        <v>73</v>
      </c>
      <c r="I1" s="7" t="s">
        <v>74</v>
      </c>
      <c r="J1" s="7" t="s">
        <v>75</v>
      </c>
      <c r="K1" s="7" t="s">
        <v>81</v>
      </c>
      <c r="L1" s="8" t="s">
        <v>84</v>
      </c>
    </row>
    <row r="2" spans="1:12" x14ac:dyDescent="0.35">
      <c r="A2" s="11">
        <v>301</v>
      </c>
      <c r="B2" s="12" t="s">
        <v>11</v>
      </c>
      <c r="C2" s="12" t="s">
        <v>12</v>
      </c>
      <c r="D2" s="12" t="s">
        <v>13</v>
      </c>
      <c r="E2" s="12">
        <v>2</v>
      </c>
      <c r="F2" s="12">
        <v>45000</v>
      </c>
      <c r="G2" s="12" t="s">
        <v>14</v>
      </c>
      <c r="H2" s="9">
        <f t="shared" ref="H2:H7" si="0">E2*F2</f>
        <v>90000</v>
      </c>
      <c r="I2" s="9">
        <f>H2*VLOOKUP(D2,Product_Master!A2:C4,3,0)%</f>
        <v>16200</v>
      </c>
      <c r="J2" s="9">
        <f t="shared" ref="J2:J7" si="1">H2+I2</f>
        <v>106200</v>
      </c>
      <c r="K2" s="15" t="str">
        <f>IF(E2&gt;3,"High","Low")</f>
        <v>Low</v>
      </c>
      <c r="L2" s="4" t="str">
        <f>TEXT(G2,"MMMM")</f>
        <v>May</v>
      </c>
    </row>
    <row r="3" spans="1:12" x14ac:dyDescent="0.35">
      <c r="A3" s="11">
        <v>306</v>
      </c>
      <c r="B3" s="12" t="s">
        <v>15</v>
      </c>
      <c r="C3" s="12" t="s">
        <v>16</v>
      </c>
      <c r="D3" s="12" t="s">
        <v>13</v>
      </c>
      <c r="E3" s="12">
        <v>2</v>
      </c>
      <c r="F3" s="12">
        <v>45000</v>
      </c>
      <c r="G3" s="12" t="s">
        <v>27</v>
      </c>
      <c r="H3" s="9">
        <f t="shared" si="0"/>
        <v>90000</v>
      </c>
      <c r="I3" s="9">
        <f>H3*VLOOKUP(D3,Product_Master!A1:C4,3,0)%</f>
        <v>16200</v>
      </c>
      <c r="J3" s="9">
        <f t="shared" si="1"/>
        <v>106200</v>
      </c>
      <c r="K3" s="15" t="str">
        <f t="shared" ref="K3:K7" si="2">IF(E3&gt;3,"High","Low")</f>
        <v>Low</v>
      </c>
      <c r="L3" s="4" t="str">
        <f t="shared" ref="L3:L7" si="3">TEXT(G3,"MMMM")</f>
        <v>18-01-2025</v>
      </c>
    </row>
    <row r="4" spans="1:12" x14ac:dyDescent="0.35">
      <c r="A4" s="11">
        <v>302</v>
      </c>
      <c r="B4" s="12" t="s">
        <v>15</v>
      </c>
      <c r="C4" s="12" t="s">
        <v>16</v>
      </c>
      <c r="D4" s="12" t="s">
        <v>17</v>
      </c>
      <c r="E4" s="12">
        <v>5</v>
      </c>
      <c r="F4" s="12">
        <v>15000</v>
      </c>
      <c r="G4" s="12" t="s">
        <v>18</v>
      </c>
      <c r="H4" s="9">
        <f t="shared" si="0"/>
        <v>75000</v>
      </c>
      <c r="I4" s="9">
        <f>H4*VLOOKUP(D4,Product_Master!A3:C5,3,0)%</f>
        <v>9000</v>
      </c>
      <c r="J4" s="9">
        <f t="shared" si="1"/>
        <v>84000</v>
      </c>
      <c r="K4" s="15" t="str">
        <f t="shared" si="2"/>
        <v>High</v>
      </c>
      <c r="L4" s="4" t="str">
        <f t="shared" si="3"/>
        <v>July</v>
      </c>
    </row>
    <row r="5" spans="1:12" x14ac:dyDescent="0.35">
      <c r="A5" s="11">
        <v>305</v>
      </c>
      <c r="B5" s="12" t="s">
        <v>11</v>
      </c>
      <c r="C5" s="12" t="s">
        <v>12</v>
      </c>
      <c r="D5" s="12" t="s">
        <v>17</v>
      </c>
      <c r="E5" s="12">
        <v>4</v>
      </c>
      <c r="F5" s="12">
        <v>15000</v>
      </c>
      <c r="G5" s="12" t="s">
        <v>26</v>
      </c>
      <c r="H5" s="9">
        <f t="shared" si="0"/>
        <v>60000</v>
      </c>
      <c r="I5" s="9">
        <f>H5*VLOOKUP(D5,Product_Master!A2:C5,3,0)%</f>
        <v>7200</v>
      </c>
      <c r="J5" s="9">
        <f t="shared" si="1"/>
        <v>67200</v>
      </c>
      <c r="K5" s="15" t="str">
        <f t="shared" si="2"/>
        <v>High</v>
      </c>
      <c r="L5" s="4" t="str">
        <f t="shared" si="3"/>
        <v>15-01-2025</v>
      </c>
    </row>
    <row r="6" spans="1:12" x14ac:dyDescent="0.35">
      <c r="A6" s="11">
        <v>303</v>
      </c>
      <c r="B6" s="12" t="s">
        <v>19</v>
      </c>
      <c r="C6" s="12" t="s">
        <v>20</v>
      </c>
      <c r="D6" s="12" t="s">
        <v>21</v>
      </c>
      <c r="E6" s="12">
        <v>3</v>
      </c>
      <c r="F6" s="12">
        <v>18000</v>
      </c>
      <c r="G6" s="12" t="s">
        <v>22</v>
      </c>
      <c r="H6" s="9">
        <f t="shared" si="0"/>
        <v>54000</v>
      </c>
      <c r="I6" s="9">
        <f>H6*VLOOKUP(D6,Product_Master!A4:C6,3,0)%</f>
        <v>6480</v>
      </c>
      <c r="J6" s="9">
        <f t="shared" si="1"/>
        <v>60480</v>
      </c>
      <c r="K6" s="15" t="str">
        <f t="shared" si="2"/>
        <v>Low</v>
      </c>
      <c r="L6" s="4" t="str">
        <f t="shared" si="3"/>
        <v>October</v>
      </c>
    </row>
    <row r="7" spans="1:12" x14ac:dyDescent="0.35">
      <c r="A7" s="11">
        <v>304</v>
      </c>
      <c r="B7" s="12" t="s">
        <v>23</v>
      </c>
      <c r="C7" s="12" t="s">
        <v>24</v>
      </c>
      <c r="D7" s="12" t="s">
        <v>13</v>
      </c>
      <c r="E7" s="12">
        <v>1</v>
      </c>
      <c r="F7" s="12">
        <v>45000</v>
      </c>
      <c r="G7" s="12" t="s">
        <v>25</v>
      </c>
      <c r="H7" s="9">
        <f t="shared" si="0"/>
        <v>45000</v>
      </c>
      <c r="I7" s="9">
        <f>H7*VLOOKUP(D7,Product_Master!A1:C4,3,0)%</f>
        <v>8100</v>
      </c>
      <c r="J7" s="9">
        <f t="shared" si="1"/>
        <v>53100</v>
      </c>
      <c r="K7" s="15" t="str">
        <f t="shared" si="2"/>
        <v>Low</v>
      </c>
      <c r="L7" s="4" t="str">
        <f t="shared" si="3"/>
        <v>December</v>
      </c>
    </row>
    <row r="8" spans="1:12" ht="26.5" thickBot="1" x14ac:dyDescent="0.65">
      <c r="A8" s="28" t="s">
        <v>76</v>
      </c>
      <c r="B8" s="29"/>
      <c r="C8" s="29"/>
      <c r="D8" s="29"/>
      <c r="E8" s="29"/>
      <c r="F8" s="29"/>
      <c r="G8" s="29"/>
      <c r="H8" s="29"/>
      <c r="I8" s="29"/>
      <c r="J8" s="16">
        <f>SUM(J2:J7)</f>
        <v>477180</v>
      </c>
      <c r="K8" s="22"/>
      <c r="L8" s="6"/>
    </row>
    <row r="9" spans="1:12" ht="15" thickBot="1" x14ac:dyDescent="0.4"/>
    <row r="10" spans="1:12" ht="15" thickBot="1" x14ac:dyDescent="0.4">
      <c r="A10" s="13" t="s">
        <v>77</v>
      </c>
      <c r="B10" s="36">
        <f>COUNTA(E2:E7)</f>
        <v>6</v>
      </c>
      <c r="C10" s="43" t="s">
        <v>93</v>
      </c>
      <c r="E10" t="s">
        <v>94</v>
      </c>
    </row>
    <row r="11" spans="1:12" ht="15" thickBot="1" x14ac:dyDescent="0.4">
      <c r="C11" s="42" t="str">
        <f>LEFT(C2,2)</f>
        <v>Am</v>
      </c>
      <c r="E11" cm="1">
        <f t="array" ref="E11">COUNTIF(Answer!D2,North)</f>
        <v>0</v>
      </c>
    </row>
    <row r="12" spans="1:12" ht="15" thickBot="1" x14ac:dyDescent="0.4">
      <c r="A12" s="13" t="s">
        <v>78</v>
      </c>
      <c r="B12" s="36"/>
      <c r="C12" s="40" t="str">
        <f t="shared" ref="C12:C16" si="4">LEFT(C3,2)</f>
        <v>Ri</v>
      </c>
      <c r="I12" s="45" t="s">
        <v>95</v>
      </c>
    </row>
    <row r="13" spans="1:12" x14ac:dyDescent="0.35">
      <c r="A13" s="14" t="s">
        <v>11</v>
      </c>
      <c r="B13" s="37">
        <f>SUMIF(B2:B7,"North",E2:E7)</f>
        <v>6</v>
      </c>
      <c r="C13" s="40" t="str">
        <f t="shared" si="4"/>
        <v>Ri</v>
      </c>
    </row>
    <row r="14" spans="1:12" x14ac:dyDescent="0.35">
      <c r="A14" s="3" t="s">
        <v>15</v>
      </c>
      <c r="B14" s="38">
        <f>SUMIF(B2:B7,"South",E2:E7)</f>
        <v>7</v>
      </c>
      <c r="C14" s="40" t="str">
        <f t="shared" si="4"/>
        <v>Am</v>
      </c>
    </row>
    <row r="15" spans="1:12" x14ac:dyDescent="0.35">
      <c r="A15" s="3" t="s">
        <v>79</v>
      </c>
      <c r="B15" s="38">
        <f>SUMIF(B3:B8,"East",E3:E8)</f>
        <v>3</v>
      </c>
      <c r="C15" s="40" t="str">
        <f t="shared" si="4"/>
        <v>Ku</v>
      </c>
    </row>
    <row r="16" spans="1:12" ht="15" thickBot="1" x14ac:dyDescent="0.4">
      <c r="A16" s="5" t="s">
        <v>80</v>
      </c>
      <c r="B16" s="39">
        <f>SUMIF(B4:B9,"West",E4:E9)</f>
        <v>1</v>
      </c>
      <c r="C16" s="41" t="str">
        <f t="shared" si="4"/>
        <v>Ne</v>
      </c>
    </row>
    <row r="17" spans="1:2" ht="15" thickBot="1" x14ac:dyDescent="0.4"/>
    <row r="18" spans="1:2" x14ac:dyDescent="0.35">
      <c r="A18" s="17" t="s">
        <v>82</v>
      </c>
      <c r="B18" s="18" t="s">
        <v>83</v>
      </c>
    </row>
    <row r="19" spans="1:2" ht="15" thickBot="1" x14ac:dyDescent="0.4">
      <c r="A19" s="19">
        <f>MAX(Answer!J2:J7)</f>
        <v>106200</v>
      </c>
      <c r="B19" s="20">
        <f>MIN(J2:J7)</f>
        <v>53100</v>
      </c>
    </row>
  </sheetData>
  <autoFilter ref="D1:E8" xr:uid="{977BCA3A-0CB3-4E6D-A410-745F4E22A8DA}"/>
  <sortState xmlns:xlrd2="http://schemas.microsoft.com/office/spreadsheetml/2017/richdata2" ref="A2:J7">
    <sortCondition descending="1" ref="J2:J7"/>
  </sortState>
  <mergeCells count="1">
    <mergeCell ref="A8:I8"/>
  </mergeCells>
  <conditionalFormatting sqref="F14">
    <cfRule type="cellIs" dxfId="8" priority="5" operator="greaterThan">
      <formula>"&gt;60000"</formula>
    </cfRule>
  </conditionalFormatting>
  <conditionalFormatting sqref="J2:J7">
    <cfRule type="cellIs" dxfId="0" priority="4" operator="greaterThan">
      <formula>"&gt;60000"</formula>
    </cfRule>
    <cfRule type="cellIs" dxfId="1" priority="3" operator="greaterThan">
      <formula>"&gt;60000"</formula>
    </cfRule>
    <cfRule type="cellIs" dxfId="2" priority="1" operator="greaterThan">
      <formula>60000</formula>
    </cfRule>
  </conditionalFormatting>
  <conditionalFormatting sqref="J2">
    <cfRule type="cellIs" dxfId="7" priority="2" operator="greaterThan">
      <formula>"&gt;60000"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Sales_Data</vt:lpstr>
      <vt:lpstr>Product_Master</vt:lpstr>
      <vt:lpstr>Student_Marks</vt:lpstr>
      <vt:lpstr>Questions</vt:lpstr>
      <vt:lpstr>Answer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BAPS</cp:lastModifiedBy>
  <dcterms:created xsi:type="dcterms:W3CDTF">2025-12-20T09:26:06Z</dcterms:created>
  <dcterms:modified xsi:type="dcterms:W3CDTF">2026-07-17T17:14:10Z</dcterms:modified>
</cp:coreProperties>
</file>