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23\Desktop\Harshi DA-18\"/>
    </mc:Choice>
  </mc:AlternateContent>
  <xr:revisionPtr revIDLastSave="0" documentId="13_ncr:1_{96C6B7BF-BB8A-424C-AC95-49A945F8428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6" l="1"/>
  <c r="B15" i="6"/>
  <c r="B14" i="6"/>
  <c r="B13" i="6"/>
  <c r="B10" i="6"/>
  <c r="J8" i="6"/>
  <c r="J3" i="6"/>
  <c r="J4" i="6"/>
  <c r="J5" i="6"/>
  <c r="J6" i="6"/>
  <c r="J7" i="6"/>
  <c r="J2" i="6"/>
  <c r="I6" i="6"/>
  <c r="I7" i="6"/>
  <c r="I3" i="6"/>
  <c r="I4" i="6"/>
  <c r="H3" i="6"/>
  <c r="H4" i="6"/>
  <c r="H5" i="6"/>
  <c r="I5" i="6" s="1"/>
  <c r="H6" i="6"/>
  <c r="H7" i="6"/>
  <c r="H2" i="6"/>
  <c r="I2" i="6" s="1"/>
  <c r="J32" i="5"/>
</calcChain>
</file>

<file path=xl/sharedStrings.xml><?xml version="1.0" encoding="utf-8"?>
<sst xmlns="http://schemas.openxmlformats.org/spreadsheetml/2006/main" count="127" uniqueCount="81">
  <si>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</si>
  <si>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</si>
  <si>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</si>
  <si>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</si>
  <si>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</si>
  <si>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</si>
  <si>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</si>
  <si>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</si>
  <si>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</si>
  <si>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</si>
  <si>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</si>
  <si>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</si>
  <si>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</si>
  <si>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</si>
  <si>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</si>
  <si>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</si>
  <si>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</si>
  <si>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</si>
  <si>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</si>
  <si>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</si>
  <si>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</si>
  <si>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</si>
  <si>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</si>
  <si>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</si>
  <si>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</si>
  <si>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</si>
  <si>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</si>
  <si>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</si>
  <si>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</si>
  <si>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</si>
  <si>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</si>
  <si>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</si>
  <si>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</si>
  <si>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</si>
  <si>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</si>
  <si>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</si>
  <si>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</si>
  <si>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</si>
  <si>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</si>
  <si>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</si>
  <si>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</si>
  <si>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</si>
  <si>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</si>
  <si>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</si>
  <si>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</si>
  <si>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</si>
  <si>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</si>
  <si>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</si>
  <si>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</si>
  <si>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</si>
  <si>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</si>
  <si>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</si>
  <si>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</si>
  <si>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</si>
  <si>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</si>
  <si>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</si>
  <si>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</si>
  <si>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</si>
  <si>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</si>
  <si>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</si>
  <si>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</si>
  <si>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</si>
  <si>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</si>
  <si>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</si>
  <si>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</si>
  <si>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</si>
  <si>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</si>
  <si>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</si>
  <si>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</si>
  <si>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</si>
  <si>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</si>
  <si>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</si>
  <si>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</si>
  <si>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A1 Total sales</t>
  </si>
  <si>
    <t>A2 GST Amount</t>
  </si>
  <si>
    <t>A3 Total Amt</t>
  </si>
  <si>
    <t xml:space="preserve">A4 Total </t>
  </si>
  <si>
    <t>A5 Total Order</t>
  </si>
  <si>
    <t xml:space="preserve">A6 Region wise Total </t>
  </si>
  <si>
    <t xml:space="preserve">East 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</si>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</sst>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3" fontId="0" fillId="2" borderId="3" xfId="1" applyFont="1" applyFill="1" applyBorder="1" applyAlignment="1">
      <alignment horizontal="center"/>
    </xf>
    <xf numFmtId="43" fontId="0" fillId="2" borderId="4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9" xfId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H8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D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workbookViewId="0">
      <selection activeCell="N13" sqref="N13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CA3A-0CB3-4E6D-A410-745F4E22A8DA}">
  <dimension ref="A1:J16"/>
  <sheetViews>
    <sheetView workbookViewId="0">
      <selection activeCell="E13" sqref="E13"/>
    </sheetView>
  </sheetViews>
  <sheetFormatPr defaultRowHeight="15" x14ac:dyDescent="0.25"/>
  <cols>
    <col min="1" max="1" width="13.85546875" bestFit="1" customWidth="1"/>
    <col min="7" max="7" width="10.7109375" bestFit="1" customWidth="1"/>
    <col min="8" max="8" width="13.140625" style="13" bestFit="1" customWidth="1"/>
    <col min="9" max="9" width="14.7109375" style="13" bestFit="1" customWidth="1"/>
    <col min="10" max="10" width="12.28515625" style="13" bestFit="1" customWidth="1"/>
  </cols>
  <sheetData>
    <row r="1" spans="1:10" x14ac:dyDescent="0.25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9" t="s">
        <v>73</v>
      </c>
      <c r="I1" s="9" t="s">
        <v>74</v>
      </c>
      <c r="J1" s="10" t="s">
        <v>75</v>
      </c>
    </row>
    <row r="2" spans="1:10" x14ac:dyDescent="0.25">
      <c r="A2" s="14">
        <v>301</v>
      </c>
      <c r="B2" s="15" t="s">
        <v>11</v>
      </c>
      <c r="C2" s="15" t="s">
        <v>12</v>
      </c>
      <c r="D2" s="15" t="s">
        <v>13</v>
      </c>
      <c r="E2" s="15">
        <v>2</v>
      </c>
      <c r="F2" s="15">
        <v>45000</v>
      </c>
      <c r="G2" s="15" t="s">
        <v>14</v>
      </c>
      <c r="H2" s="11">
        <f>E2*F2</f>
        <v>90000</v>
      </c>
      <c r="I2" s="11">
        <f>H2*VLOOKUP(D2,Product_Master!A2:C4,3,0)%</f>
        <v>16200</v>
      </c>
      <c r="J2" s="12">
        <f>H2+I2</f>
        <v>106200</v>
      </c>
    </row>
    <row r="3" spans="1:10" x14ac:dyDescent="0.25">
      <c r="A3" s="14">
        <v>302</v>
      </c>
      <c r="B3" s="15" t="s">
        <v>15</v>
      </c>
      <c r="C3" s="15" t="s">
        <v>16</v>
      </c>
      <c r="D3" s="15" t="s">
        <v>17</v>
      </c>
      <c r="E3" s="15">
        <v>5</v>
      </c>
      <c r="F3" s="15">
        <v>15000</v>
      </c>
      <c r="G3" s="15" t="s">
        <v>18</v>
      </c>
      <c r="H3" s="11">
        <f t="shared" ref="H3:H7" si="0">E3*F3</f>
        <v>75000</v>
      </c>
      <c r="I3" s="11">
        <f>H3*VLOOKUP(D3,Product_Master!A3:C5,3,0)%</f>
        <v>9000</v>
      </c>
      <c r="J3" s="12">
        <f t="shared" ref="J3:J7" si="1">H3+I3</f>
        <v>84000</v>
      </c>
    </row>
    <row r="4" spans="1:10" x14ac:dyDescent="0.25">
      <c r="A4" s="14">
        <v>303</v>
      </c>
      <c r="B4" s="15" t="s">
        <v>19</v>
      </c>
      <c r="C4" s="15" t="s">
        <v>20</v>
      </c>
      <c r="D4" s="15" t="s">
        <v>21</v>
      </c>
      <c r="E4" s="15">
        <v>3</v>
      </c>
      <c r="F4" s="15">
        <v>18000</v>
      </c>
      <c r="G4" s="15" t="s">
        <v>22</v>
      </c>
      <c r="H4" s="11">
        <f t="shared" si="0"/>
        <v>54000</v>
      </c>
      <c r="I4" s="11">
        <f>H4*VLOOKUP(D4,Product_Master!A4:C6,3,0)%</f>
        <v>6480</v>
      </c>
      <c r="J4" s="12">
        <f t="shared" si="1"/>
        <v>60480</v>
      </c>
    </row>
    <row r="5" spans="1:10" x14ac:dyDescent="0.25">
      <c r="A5" s="14">
        <v>304</v>
      </c>
      <c r="B5" s="15" t="s">
        <v>23</v>
      </c>
      <c r="C5" s="15" t="s">
        <v>24</v>
      </c>
      <c r="D5" s="15" t="s">
        <v>13</v>
      </c>
      <c r="E5" s="15">
        <v>1</v>
      </c>
      <c r="F5" s="15">
        <v>45000</v>
      </c>
      <c r="G5" s="15" t="s">
        <v>25</v>
      </c>
      <c r="H5" s="11">
        <f t="shared" si="0"/>
        <v>45000</v>
      </c>
      <c r="I5" s="11">
        <f>H5*VLOOKUP(D5,Product_Master!A1:C4,3,0)%</f>
        <v>8100</v>
      </c>
      <c r="J5" s="12">
        <f t="shared" si="1"/>
        <v>53100</v>
      </c>
    </row>
    <row r="6" spans="1:10" x14ac:dyDescent="0.25">
      <c r="A6" s="14">
        <v>305</v>
      </c>
      <c r="B6" s="15" t="s">
        <v>11</v>
      </c>
      <c r="C6" s="15" t="s">
        <v>12</v>
      </c>
      <c r="D6" s="15" t="s">
        <v>17</v>
      </c>
      <c r="E6" s="15">
        <v>4</v>
      </c>
      <c r="F6" s="15">
        <v>15000</v>
      </c>
      <c r="G6" s="15" t="s">
        <v>26</v>
      </c>
      <c r="H6" s="11">
        <f t="shared" si="0"/>
        <v>60000</v>
      </c>
      <c r="I6" s="11">
        <f>H6*VLOOKUP(D6,Product_Master!A2:C5,3,0)%</f>
        <v>7200</v>
      </c>
      <c r="J6" s="12">
        <f t="shared" si="1"/>
        <v>67200</v>
      </c>
    </row>
    <row r="7" spans="1:10" x14ac:dyDescent="0.25">
      <c r="A7" s="14">
        <v>306</v>
      </c>
      <c r="B7" s="15" t="s">
        <v>15</v>
      </c>
      <c r="C7" s="15" t="s">
        <v>16</v>
      </c>
      <c r="D7" s="15" t="s">
        <v>13</v>
      </c>
      <c r="E7" s="15">
        <v>2</v>
      </c>
      <c r="F7" s="15">
        <v>45000</v>
      </c>
      <c r="G7" s="15" t="s">
        <v>27</v>
      </c>
      <c r="H7" s="11">
        <f t="shared" si="0"/>
        <v>90000</v>
      </c>
      <c r="I7" s="11">
        <f>H7*VLOOKUP(D7,Product_Master!A1:C4,3,0)%</f>
        <v>16200</v>
      </c>
      <c r="J7" s="12">
        <f t="shared" si="1"/>
        <v>106200</v>
      </c>
    </row>
    <row r="8" spans="1:10" ht="27" thickBot="1" x14ac:dyDescent="0.45">
      <c r="A8" s="7" t="s">
        <v>76</v>
      </c>
      <c r="B8" s="8"/>
      <c r="C8" s="8"/>
      <c r="D8" s="8"/>
      <c r="E8" s="8"/>
      <c r="F8" s="8"/>
      <c r="G8" s="8"/>
      <c r="H8" s="8"/>
      <c r="I8" s="8"/>
      <c r="J8" s="16">
        <f>SUM(J2:J7)</f>
        <v>477180</v>
      </c>
    </row>
    <row r="9" spans="1:10" ht="15.75" thickBot="1" x14ac:dyDescent="0.3"/>
    <row r="10" spans="1:10" ht="15.75" thickBot="1" x14ac:dyDescent="0.3">
      <c r="A10" s="17" t="s">
        <v>77</v>
      </c>
      <c r="B10" s="18">
        <f>COUNTA(E2:E7)</f>
        <v>6</v>
      </c>
    </row>
    <row r="11" spans="1:10" ht="15.75" thickBot="1" x14ac:dyDescent="0.3"/>
    <row r="12" spans="1:10" ht="15.75" thickBot="1" x14ac:dyDescent="0.3">
      <c r="A12" s="17" t="s">
        <v>78</v>
      </c>
      <c r="B12" s="18"/>
    </row>
    <row r="13" spans="1:10" x14ac:dyDescent="0.25">
      <c r="A13" s="19" t="s">
        <v>11</v>
      </c>
      <c r="B13" s="20">
        <f>SUMIF(B2:B7,"North",E2:E7)</f>
        <v>6</v>
      </c>
    </row>
    <row r="14" spans="1:10" x14ac:dyDescent="0.25">
      <c r="A14" s="3" t="s">
        <v>15</v>
      </c>
      <c r="B14" s="4">
        <f>SUMIF(B2:B7,"South",E2:E7)</f>
        <v>7</v>
      </c>
    </row>
    <row r="15" spans="1:10" x14ac:dyDescent="0.25">
      <c r="A15" s="3" t="s">
        <v>79</v>
      </c>
      <c r="B15" s="4">
        <f>SUMIF(B3:B8,"East",E3:E8)</f>
        <v>3</v>
      </c>
    </row>
    <row r="16" spans="1:10" ht="15.75" thickBot="1" x14ac:dyDescent="0.3">
      <c r="A16" s="5" t="s">
        <v>80</v>
      </c>
      <c r="B16" s="6">
        <f>SUMIF(B4:B9,"West",E4:E9)</f>
        <v>1</v>
      </c>
    </row>
  </sheetData>
  <mergeCells count="1"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ASDC23</cp:lastModifiedBy>
  <dcterms:created xsi:type="dcterms:W3CDTF">2025-12-20T09:26:06Z</dcterms:created>
  <dcterms:modified xsi:type="dcterms:W3CDTF">2026-07-12T09:48:35Z</dcterms:modified>
</cp:coreProperties>
</file>