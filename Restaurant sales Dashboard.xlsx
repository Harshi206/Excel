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23\Desktop\Harshi DA-18\"/>
    </mc:Choice>
  </mc:AlternateContent>
  <xr:revisionPtr revIDLastSave="0" documentId="13_ncr:1_{6B0B2729-909D-44EE-87EF-1395FC539FB3}" xr6:coauthVersionLast="47" xr6:coauthVersionMax="47" xr10:uidLastSave="{00000000-0000-0000-0000-000000000000}"/>
  <bookViews>
    <workbookView xWindow="-120" yWindow="-120" windowWidth="20730" windowHeight="11040" activeTab="2" xr2:uid="{88392970-5FC8-4236-89DE-7D41858D0480}"/>
  </bookViews>
  <sheets>
    <sheet name="Sheet5" sheetId="5" r:id="rId1"/>
    <sheet name="Sheet1" sheetId="1" r:id="rId2"/>
    <sheet name="Sheet2" sheetId="2" r:id="rId3"/>
  </sheets>
  <externalReferences>
    <externalReference r:id="rId4"/>
  </externalReferences>
  <definedNames>
    <definedName name="Slicer_Region">#N/A</definedName>
    <definedName name="Slicer_Sales">#N/A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J3" i="5"/>
</calcChain>
</file>

<file path=xl/sharedStrings.xml><?xml version="1.0" encoding="utf-8"?>
<sst xmlns="http://schemas.openxmlformats.org/spreadsheetml/2006/main" count="4878" uniqueCount="352">
  <si>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</si>
  <si>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</si>
  <si>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</si>
  <si>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</si>
  <si>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</si>
  <si>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</si>
  <si>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</si>
  <si>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</si>
  <si>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</si>
  <si>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</si>
  <si>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</si>
  <si>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</si>
  <si>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</si>
  <si>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</si>
  <si>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</si>
  <si>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</si>
  <si>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</si>
  <si>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</si>
  <si>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</si>
  <si>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</si>
  <si>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</si>
  <si>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</si>
  <si>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</si>
  <si>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</si>
  <si>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</si>
  <si>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</si>
  <si>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</si>
  <si>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</si>
  <si>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</si>
  <si>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</si>
  <si>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</si>
  <si>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</si>
  <si>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</si>
  <si>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</si>
  <si>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</si>
  <si>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</si>
  <si>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</si>
  <si>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</si>
  <si>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</si>
  <si>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</si>
  <si>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</si>
  <si>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</si>
  <si>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</si>
  <si>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</si>
  <si>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</si>
  <si>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</si>
  <si>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</si>
  <si>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</si>
  <si>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</si>
  <si>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</si>
  <si>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</si>
  <si>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</si>
  <si>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</si>
  <si>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</si>
  <si>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</si>
  <si>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</si>
  <si>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</si>
  <si>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</si>
  <si>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</si>
  <si>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</si>
  <si>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</si>
  <si>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</si>
  <si>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</si>
  <si>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</si>
  <si>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</si>
  <si>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</si>
  <si>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</si>
  <si>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</si>
  <si>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</si>
  <si>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</si>
  <si>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</si>
  <si>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</si>
  <si>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</si>
  <si>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</si>
  <si>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</si>
  <si>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</si>
  <si>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</si>
  <si>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</si>
  <si>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</si>
  <si>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</si>
  <si>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</si>
  <si>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</si>
  <si>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</si>
  <si>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</si>
  <si>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</si>
  <si>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</si>
  <si>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</si>
  <si>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</si>
  <si>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</si>
  <si>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</si>
  <si>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</si>
  <si>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</si>
  <si>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</si>
  <si>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</si>
  <si>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</si>
  <si>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</si>
  <si>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</si>
  <si>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</si>
  <si>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</si>
  <si>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</si>
  <si>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</si>
  <si>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</si>
  <si>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</si>
  <si>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</si>
  <si>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</si>
  <si>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</si>
  <si>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</si>
  <si>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</si>
  <si>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</si>
  <si>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</si>
  <si>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</si>
  <si>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</si>
  <si>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</si>
  <si>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</si>
  <si>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</si>
  <si>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</si>
  <si>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</si>
  <si>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</si>
  <si>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</si>
  <si>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</si>
  <si>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</si>
  <si>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</si>
  <si>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</si>
  <si>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</si>
  <si>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</si>
  <si>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</si>
  <si>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</si>
  <si>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</si>
  <si>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</si>
  <si>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</si>
  <si>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</si>
  <si>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</si>
  <si>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</si>
  <si>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</si>
  <si>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</si>
  <si>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</si>
  <si>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</si>
  <si>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</si>
  <si>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</si>
  <si>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</si>
  <si>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</si>
  <si>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</si>
  <si>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</si>
  <si>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</si>
  <si>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</si>
  <si>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</si>
  <si>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</si>
  <si>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</si>
  <si>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</si>
  <si>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</si>
  <si>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</si>
  <si>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</si>
  <si>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</si>
  <si>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</si>
  <si>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</si>
  <si>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</si>
  <si>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</si>
  <si>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</si>
  <si>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</si>
  <si>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</si>
  <si>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</si>
  <si>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</si>
  <si>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</si>
  <si>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</si>
  <si>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</si>
  <si>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</si>
  <si>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</si>
  <si>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</si>
  <si>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</si>
  <si>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</si>
  <si>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</si>
  <si>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</si>
  <si>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</si>
  <si>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</si>
  <si>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</si>
  <si>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</si>
  <si>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</si>
  <si>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</si>
  <si>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</si>
  <si>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</si>
  <si>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</si>
  <si>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</si>
  <si>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</si>
  <si>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</si>
  <si>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</si>
  <si>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</si>
  <si>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</si>
  <si>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</si>
  <si>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</si>
  <si>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</si>
  <si>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</si>
  <si>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</si>
  <si>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</si>
  <si>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</si>
  <si>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</si>
  <si>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</si>
  <si>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</si>
  <si>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</si>
  <si>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</si>
  <si>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</si>
  <si>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</si>
  <si>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</si>
  <si>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</si>
  <si>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</si>
  <si>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</si>
  <si>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</si>
  <si>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</si>
  <si>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</si>
  <si>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</si>
  <si>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</si>
  <si>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</si>
  <si>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</si>
  <si>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</si>
  <si>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</si>
  <si>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</si>
  <si>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</si>
  <si>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</si>
  <si>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</si>
  <si>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</si>
  <si>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</si>
  <si>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</si>
  <si>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</si>
  <si>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</si>
  <si>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</si>
  <si>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</si>
  <si>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</si>
  <si>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</si>
  <si>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</si>
  <si>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</si>
  <si>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</si>
  <si>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</si>
  <si>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</si>
  <si>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</si>
  <si>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</si>
  <si>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</si>
  <si>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</si>
  <si>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</si>
  <si>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</si>
  <si>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</si>
  <si>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</si>
  <si>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</si>
  <si>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</si>
  <si>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</si>
  <si>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</si>
  <si>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</si>
  <si>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</si>
  <si>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</si>
  <si>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</si>
  <si>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</si>
  <si>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</si>
  <si>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</si>
  <si>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</si>
  <si>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</si>
  <si>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</si>
  <si>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</si>
  <si>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</si>
  <si>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</si>
  <si>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</si>
  <si>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</si>
  <si>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</si>
  <si>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</si>
  <si>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</si>
  <si>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</si>
  <si>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</si>
  <si>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</si>
  <si>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</si>
  <si>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</si>
  <si>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</si>
  <si>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</si>
  <si>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</si>
  <si>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</si>
  <si>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</si>
  <si>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</si>
  <si>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</si>
  <si>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</si>
  <si>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</si>
  <si>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</si>
  <si>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</si>
  <si>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</si>
  <si>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</si>
  <si>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</si>
  <si>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</si>
  <si>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</si>
  <si>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</si>
  <si>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</si>
  <si>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</si>
  <si>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</si>
  <si>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</si>
  <si>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</si>
  <si>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</si>
  <si>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</si>
  <si>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</si>
  <si>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</si>
  <si>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</si>
  <si>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</si>
  <si>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</si>
  <si>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</si>
  <si>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</si>
  <si>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</si>
  <si>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</si>
  <si>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</si>
  <si>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</si>
  <si>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</si>
  <si>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</si>
  <si>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</si>
  <si>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</si>
  <si>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</si>
  <si>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</si>
  <si>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</si>
  <si>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</si>
  <si>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</si>
  <si>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</si>
  <si>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</si>
  <si>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</si>
  <si>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</si>
  <si>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OrderID</t>
  </si>
  <si>
    <t>Time</t>
  </si>
  <si>
    <t>Time 2</t>
  </si>
  <si>
    <t>Date22</t>
  </si>
  <si>
    <t>Customer</t>
  </si>
  <si>
    <t>Region</t>
  </si>
  <si>
    <t>Category</t>
  </si>
  <si>
    <t>Quantity</t>
  </si>
  <si>
    <t>Price</t>
  </si>
  <si>
    <t>Sales</t>
  </si>
  <si>
    <t>Hour</t>
  </si>
  <si>
    <t>Day</t>
  </si>
  <si>
    <t>Menu Item</t>
  </si>
  <si>
    <t>Row Labels</t>
  </si>
  <si>
    <t>Grand Total</t>
  </si>
  <si>
    <t>Sum of Quantity</t>
  </si>
  <si>
    <t>Jan</t>
  </si>
  <si>
    <t>Mar</t>
  </si>
  <si>
    <t>Apr</t>
  </si>
  <si>
    <t>May</t>
  </si>
  <si>
    <t>Jun</t>
  </si>
  <si>
    <t>Jul</t>
  </si>
  <si>
    <t>Aug</t>
  </si>
  <si>
    <t>Sep</t>
  </si>
  <si>
    <t>Oct</t>
  </si>
  <si>
    <t>Nov</t>
  </si>
  <si>
    <t>Dec</t>
  </si>
  <si>
    <t>Feb</t>
  </si>
  <si>
    <t>Sum of Sales</t>
  </si>
  <si>
    <t>Sunday</t>
  </si>
  <si>
    <t>Monday</t>
  </si>
  <si>
    <t>Tuesday</t>
  </si>
  <si>
    <t>Wednesday</t>
  </si>
  <si>
    <t>Thursday</t>
  </si>
  <si>
    <t>Friday</t>
  </si>
  <si>
    <t>Saturday</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</si>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</sst>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color theme="1"/>
      <name val="Calibri"/>
      <family val="2"/>
      <scheme val="minor"/>
    </font>
    <font>
      <b/>
      <sz val="14"/>
      <name val="Calibri"/>
      <family val="2"/>
    </font>
    <font>
      <sz val="11"/>
      <name val="Calibri"/>
      <family val="2"/>
    </font>
  </fonts>
  <fills count="2">
    <fill>
      <patternFill patternType="none"/>
    </fill>
    <fill>
      <patternFill patternType="gray125"/>
    </fill>
  </fills>
  <borders count="10">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20">
    <xf numFmtId="0" fontId="0" fillId="0" borderId="0" xfId="0"/>
    <xf numFmtId="0" fontId="1" fillId="0" borderId="8" xfId="0" applyFont="1" applyBorder="1" applyAlignment="1">
      <alignment horizontal="center" vertical="center"/>
    </xf>
    <xf numFmtId="164" fontId="1" fillId="0" borderId="4" xfId="0" applyNumberFormat="1" applyFont="1" applyBorder="1" applyAlignment="1">
      <alignment horizontal="center" vertical="center"/>
    </xf>
    <xf numFmtId="14" fontId="1" fillId="0" borderId="4" xfId="0" applyNumberFormat="1" applyFont="1" applyBorder="1" applyAlignment="1">
      <alignment horizontal="center" vertical="center"/>
    </xf>
    <xf numFmtId="0" fontId="1" fillId="0" borderId="4" xfId="0" applyFont="1" applyBorder="1" applyAlignment="1">
      <alignment horizontal="center" vertical="center"/>
    </xf>
    <xf numFmtId="0" fontId="1" fillId="0" borderId="9" xfId="0" applyFont="1" applyBorder="1" applyAlignment="1">
      <alignment horizontal="center" vertical="center"/>
    </xf>
    <xf numFmtId="0" fontId="2" fillId="0" borderId="1" xfId="0" applyFont="1" applyBorder="1" applyAlignment="1">
      <alignment horizontal="center" vertical="center"/>
    </xf>
    <xf numFmtId="164" fontId="2" fillId="0" borderId="2" xfId="0" applyNumberFormat="1" applyFont="1" applyBorder="1" applyAlignment="1">
      <alignment horizontal="center" vertical="center"/>
    </xf>
    <xf numFmtId="14"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164" fontId="2" fillId="0" borderId="6" xfId="0" applyNumberFormat="1" applyFont="1" applyBorder="1" applyAlignment="1">
      <alignment horizontal="center" vertical="center"/>
    </xf>
    <xf numFmtId="14" fontId="2" fillId="0" borderId="6" xfId="0" applyNumberFormat="1"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
    <dxf>
      <font>
        <strike val="0"/>
        <outline val="0"/>
        <shadow val="0"/>
        <u val="none"/>
        <vertAlign val="baseline"/>
        <color auto="1"/>
        <name val="Calibri"/>
      </font>
    </dxf>
    <dxf>
      <fill>
        <patternFill patternType="none"/>
      </fill>
    </dxf>
    <dxf>
      <fill>
        <patternFill patternType="solid">
          <fgColor rgb="FFD9E2F3"/>
          <bgColor rgb="FFD9E2F3"/>
        </patternFill>
      </fill>
    </dxf>
    <dxf>
      <fill>
        <patternFill patternType="none"/>
      </fill>
    </dxf>
  </dxfs>
  <tableStyles count="1" defaultTableStyle="TableStyleMedium2" defaultPivotStyle="PivotStyleLight16">
    <tableStyle name="restaurant_sales_1200-style" pivot="0" count="3" xr9:uid="{F718A8A4-F6D4-4A15-8839-22A5CF0134E8}">
      <tableStyleElement type="headerRow" dxfId="3"/>
      <tableStyleElement type="firstRowStripe" dxfId="2"/>
      <tableStyleElement type="secondRowStripe" dxfId="1"/>
    </tableStyle>
  </tableStyles>
  <colors>
    <mruColors>
      <color rgb="FFCA08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Dashboard.xlsx]Sheet5!PivotTable7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DAYS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Sheet5!$E$3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Sheet5!$D$4:$D$11</c:f>
              <c:strCache>
                <c:ptCount val="7"/>
                <c:pt idx="0">
                  <c:v>Sunday</c:v>
                </c:pt>
                <c:pt idx="1">
                  <c:v>Monday</c:v>
                </c:pt>
                <c:pt idx="2">
                  <c:v>Tuesday</c:v>
                </c:pt>
                <c:pt idx="3">
                  <c:v>Wednesday</c:v>
                </c:pt>
                <c:pt idx="4">
                  <c:v>Thursday</c:v>
                </c:pt>
                <c:pt idx="5">
                  <c:v>Friday</c:v>
                </c:pt>
                <c:pt idx="6">
                  <c:v>Saturday</c:v>
                </c:pt>
              </c:strCache>
            </c:strRef>
          </c:cat>
          <c:val>
            <c:numRef>
              <c:f>Sheet5!$E$4:$E$11</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0-16DB-4EC0-8F81-9578E2842DF5}"/>
            </c:ext>
          </c:extLst>
        </c:ser>
        <c:dLbls>
          <c:showLegendKey val="0"/>
          <c:showVal val="0"/>
          <c:showCatName val="0"/>
          <c:showSerName val="0"/>
          <c:showPercent val="0"/>
          <c:showBubbleSize val="0"/>
        </c:dLbls>
        <c:gapWidth val="65"/>
        <c:shape val="box"/>
        <c:axId val="860921056"/>
        <c:axId val="860924384"/>
        <c:axId val="0"/>
      </c:bar3DChart>
      <c:catAx>
        <c:axId val="8609210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0924384"/>
        <c:crosses val="autoZero"/>
        <c:auto val="1"/>
        <c:lblAlgn val="ctr"/>
        <c:lblOffset val="100"/>
        <c:noMultiLvlLbl val="0"/>
      </c:catAx>
      <c:valAx>
        <c:axId val="86092438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092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Dashboard.xlsx]Sheet5!PivotTable8</c:name>
    <c:fmtId val="19"/>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SALES BY MENU ITEM</a:t>
            </a:r>
          </a:p>
        </c:rich>
      </c:tx>
      <c:layout>
        <c:manualLayout>
          <c:xMode val="edge"/>
          <c:yMode val="edge"/>
          <c:x val="0.29016554019188395"/>
          <c:y val="3.304347943719283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3"/>
          </a:solidFill>
          <a:ln>
            <a:noFill/>
          </a:ln>
          <a:effectLst>
            <a:outerShdw blurRad="317500" algn="ctr" rotWithShape="0">
              <a:prstClr val="black">
                <a:alpha val="25000"/>
              </a:prstClr>
            </a:outerShdw>
          </a:effectLst>
        </c:spPr>
      </c:pivotFmt>
      <c:pivotFmt>
        <c:idx val="16"/>
        <c:spPr>
          <a:solidFill>
            <a:schemeClr val="accent4"/>
          </a:solidFill>
          <a:ln>
            <a:noFill/>
          </a:ln>
          <a:effectLst>
            <a:outerShdw blurRad="317500" algn="ctr" rotWithShape="0">
              <a:prstClr val="black">
                <a:alpha val="25000"/>
              </a:prstClr>
            </a:outerShdw>
          </a:effectLst>
        </c:spPr>
      </c:pivotFmt>
      <c:pivotFmt>
        <c:idx val="17"/>
        <c:spPr>
          <a:solidFill>
            <a:schemeClr val="accent5"/>
          </a:solidFill>
          <a:ln>
            <a:noFill/>
          </a:ln>
          <a:effectLst>
            <a:outerShdw blurRad="317500" algn="ctr" rotWithShape="0">
              <a:prstClr val="black">
                <a:alpha val="25000"/>
              </a:prstClr>
            </a:outerShdw>
          </a:effectLst>
        </c:spPr>
      </c:pivotFmt>
      <c:pivotFmt>
        <c:idx val="18"/>
        <c:spPr>
          <a:solidFill>
            <a:schemeClr val="accent6"/>
          </a:solidFill>
          <a:ln>
            <a:noFill/>
          </a:ln>
          <a:effectLst>
            <a:outerShdw blurRad="317500" algn="ctr" rotWithShape="0">
              <a:prstClr val="black">
                <a:alpha val="25000"/>
              </a:prstClr>
            </a:outerShdw>
          </a:effectLst>
        </c:spPr>
      </c:pivotFmt>
      <c:pivotFmt>
        <c:idx val="19"/>
        <c:spPr>
          <a:solidFill>
            <a:schemeClr val="accent1">
              <a:lumMod val="60000"/>
            </a:schemeClr>
          </a:solidFill>
          <a:ln>
            <a:noFill/>
          </a:ln>
          <a:effectLst>
            <a:outerShdw blurRad="317500" algn="ctr" rotWithShape="0">
              <a:prstClr val="black">
                <a:alpha val="25000"/>
              </a:prstClr>
            </a:outerShdw>
          </a:effectLst>
        </c:spPr>
      </c:pivotFmt>
      <c:pivotFmt>
        <c:idx val="20"/>
        <c:spPr>
          <a:solidFill>
            <a:schemeClr val="accent2">
              <a:lumMod val="60000"/>
            </a:schemeClr>
          </a:solidFill>
          <a:ln>
            <a:noFill/>
          </a:ln>
          <a:effectLst>
            <a:outerShdw blurRad="317500" algn="ctr" rotWithShape="0">
              <a:prstClr val="black">
                <a:alpha val="25000"/>
              </a:prstClr>
            </a:outerShdw>
          </a:effectLst>
        </c:spPr>
      </c:pivotFmt>
      <c:pivotFmt>
        <c:idx val="21"/>
        <c:spPr>
          <a:solidFill>
            <a:schemeClr val="accent3">
              <a:lumMod val="60000"/>
            </a:schemeClr>
          </a:solidFill>
          <a:ln>
            <a:noFill/>
          </a:ln>
          <a:effectLst>
            <a:outerShdw blurRad="317500" algn="ctr" rotWithShape="0">
              <a:prstClr val="black">
                <a:alpha val="25000"/>
              </a:prstClr>
            </a:outerShdw>
          </a:effectLst>
        </c:spPr>
      </c:pivotFmt>
      <c:pivotFmt>
        <c:idx val="22"/>
        <c:spPr>
          <a:solidFill>
            <a:schemeClr val="accent4">
              <a:lumMod val="60000"/>
            </a:schemeClr>
          </a:solidFill>
          <a:ln>
            <a:noFill/>
          </a:ln>
          <a:effectLst>
            <a:outerShdw blurRad="317500" algn="ctr" rotWithShape="0">
              <a:prstClr val="black">
                <a:alpha val="25000"/>
              </a:prstClr>
            </a:outerShdw>
          </a:effectLst>
        </c:spPr>
      </c:pivotFmt>
      <c:pivotFmt>
        <c:idx val="23"/>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90835986893719"/>
          <c:y val="0.13097299461732115"/>
          <c:w val="0.63906480564462542"/>
          <c:h val="0.59684932692840997"/>
        </c:manualLayout>
      </c:layout>
      <c:doughnutChart>
        <c:varyColors val="1"/>
        <c:ser>
          <c:idx val="0"/>
          <c:order val="0"/>
          <c:tx>
            <c:strRef>
              <c:f>Sheet5!$H$3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9B9-43CE-A162-8E7333EF0C4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9B9-43CE-A162-8E7333EF0C4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9B9-43CE-A162-8E7333EF0C4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9B9-43CE-A162-8E7333EF0C43}"/>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9B9-43CE-A162-8E7333EF0C43}"/>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9B9-43CE-A162-8E7333EF0C43}"/>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C9B9-43CE-A162-8E7333EF0C43}"/>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C9B9-43CE-A162-8E7333EF0C43}"/>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C9B9-43CE-A162-8E7333EF0C43}"/>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C9B9-43CE-A162-8E7333EF0C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Sheet5!$G$4:$G$14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Sheet5!$H$4:$H$14</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14-C9B9-43CE-A162-8E7333EF0C4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6.9880665492211821E-2"/>
          <c:y val="0.74897764274109435"/>
          <c:w val="0.86301173428834732"/>
          <c:h val="0.2266061797319617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Dashboard.xlsx]Sheet5!PivotTable9</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Sheet5!$B$11</c:f>
              <c:strCache>
                <c:ptCount val="1"/>
                <c:pt idx="0">
                  <c:v>Total</c:v>
                </c:pt>
              </c:strCache>
            </c:strRef>
          </c:tx>
          <c:spPr>
            <a:solidFill>
              <a:schemeClr val="accent1"/>
            </a:solidFill>
            <a:ln>
              <a:noFill/>
            </a:ln>
            <a:effectLst/>
            <a:sp3d/>
          </c:spPr>
          <c:invertIfNegative val="0"/>
          <c:cat>
            <c:strRef>
              <c:f>Sheet5!$A$12:$A$24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Sheet5!$B$12:$B$24</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00-0004-4A4C-A57C-1AEA29124F2A}"/>
            </c:ext>
          </c:extLst>
        </c:ser>
        <c:dLbls>
          <c:showLegendKey val="0"/>
          <c:showVal val="0"/>
          <c:showCatName val="0"/>
          <c:showSerName val="0"/>
          <c:showPercent val="0"/>
          <c:showBubbleSize val="0"/>
        </c:dLbls>
        <c:gapWidth val="150"/>
        <c:shape val="box"/>
        <c:axId val="1158853008"/>
        <c:axId val="1158845936"/>
        <c:axId val="0"/>
      </c:bar3DChart>
      <c:catAx>
        <c:axId val="1158853008"/>
        <c:scaling>
          <c:orientation val="minMax"/>
        </c:scaling>
        <c:delete val="1"/>
        <c:axPos val="l"/>
        <c:numFmt formatCode="General" sourceLinked="1"/>
        <c:majorTickMark val="none"/>
        <c:minorTickMark val="none"/>
        <c:tickLblPos val="nextTo"/>
        <c:crossAx val="1158845936"/>
        <c:crosses val="autoZero"/>
        <c:auto val="1"/>
        <c:lblAlgn val="ctr"/>
        <c:lblOffset val="100"/>
        <c:noMultiLvlLbl val="0"/>
      </c:catAx>
      <c:valAx>
        <c:axId val="115884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85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Dashboard.xlsx]Sheet5!PivotTable10</c:name>
    <c:fmtId val="21"/>
  </c:pivotSource>
  <c:chart>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900"/>
              <a:t>QTY BY MENU ITEM</a:t>
            </a:r>
          </a:p>
        </c:rich>
      </c:tx>
      <c:layout>
        <c:manualLayout>
          <c:xMode val="edge"/>
          <c:yMode val="edge"/>
          <c:x val="0.46286231884057977"/>
          <c:y val="4.190667372343080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1">
              <a:lumMod val="60000"/>
            </a:schemeClr>
          </a:solidFill>
          <a:ln>
            <a:noFill/>
          </a:ln>
          <a:effectLst>
            <a:outerShdw blurRad="254000" sx="102000" sy="102000" algn="ctr" rotWithShape="0">
              <a:prstClr val="black">
                <a:alpha val="20000"/>
              </a:prstClr>
            </a:outerShdw>
          </a:effectLst>
        </c:spPr>
      </c:pivotFmt>
      <c:pivotFmt>
        <c:idx val="9"/>
        <c:spPr>
          <a:solidFill>
            <a:schemeClr val="accent2">
              <a:lumMod val="60000"/>
            </a:schemeClr>
          </a:solidFill>
          <a:ln>
            <a:noFill/>
          </a:ln>
          <a:effectLst>
            <a:outerShdw blurRad="254000" sx="102000" sy="102000" algn="ctr" rotWithShape="0">
              <a:prstClr val="black">
                <a:alpha val="20000"/>
              </a:prstClr>
            </a:outerShdw>
          </a:effectLst>
        </c:spPr>
      </c:pivotFmt>
      <c:pivotFmt>
        <c:idx val="10"/>
        <c:spPr>
          <a:solidFill>
            <a:schemeClr val="accent3">
              <a:lumMod val="60000"/>
            </a:schemeClr>
          </a:solidFill>
          <a:ln>
            <a:noFill/>
          </a:ln>
          <a:effectLst>
            <a:outerShdw blurRad="254000" sx="102000" sy="102000" algn="ctr" rotWithShape="0">
              <a:prstClr val="black">
                <a:alpha val="20000"/>
              </a:prstClr>
            </a:outerShdw>
          </a:effectLst>
        </c:spPr>
      </c:pivotFmt>
      <c:pivotFmt>
        <c:idx val="11"/>
        <c:spPr>
          <a:solidFill>
            <a:schemeClr val="accent4">
              <a:lumMod val="60000"/>
            </a:schemeClr>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3"/>
          </a:solidFill>
          <a:ln>
            <a:noFill/>
          </a:ln>
          <a:effectLst>
            <a:outerShdw blurRad="254000" sx="102000" sy="102000" algn="ctr" rotWithShape="0">
              <a:prstClr val="black">
                <a:alpha val="20000"/>
              </a:prstClr>
            </a:outerShdw>
          </a:effectLst>
        </c:spPr>
      </c:pivotFmt>
      <c:pivotFmt>
        <c:idx val="16"/>
        <c:spPr>
          <a:solidFill>
            <a:schemeClr val="accent4"/>
          </a:solidFill>
          <a:ln>
            <a:noFill/>
          </a:ln>
          <a:effectLst>
            <a:outerShdw blurRad="254000" sx="102000" sy="102000" algn="ctr" rotWithShape="0">
              <a:prstClr val="black">
                <a:alpha val="20000"/>
              </a:prstClr>
            </a:outerShdw>
          </a:effectLst>
        </c:spPr>
      </c:pivotFmt>
      <c:pivotFmt>
        <c:idx val="17"/>
        <c:spPr>
          <a:solidFill>
            <a:schemeClr val="accent5"/>
          </a:solidFill>
          <a:ln>
            <a:noFill/>
          </a:ln>
          <a:effectLst>
            <a:outerShdw blurRad="254000" sx="102000" sy="102000" algn="ctr" rotWithShape="0">
              <a:prstClr val="black">
                <a:alpha val="20000"/>
              </a:prstClr>
            </a:outerShdw>
          </a:effectLst>
        </c:spPr>
      </c:pivotFmt>
      <c:pivotFmt>
        <c:idx val="18"/>
        <c:spPr>
          <a:solidFill>
            <a:schemeClr val="accent6"/>
          </a:solidFill>
          <a:ln>
            <a:noFill/>
          </a:ln>
          <a:effectLst>
            <a:outerShdw blurRad="254000" sx="102000" sy="102000" algn="ctr" rotWithShape="0">
              <a:prstClr val="black">
                <a:alpha val="20000"/>
              </a:prstClr>
            </a:outerShdw>
          </a:effectLst>
        </c:spPr>
      </c:pivotFmt>
      <c:pivotFmt>
        <c:idx val="19"/>
        <c:spPr>
          <a:solidFill>
            <a:schemeClr val="accent1">
              <a:lumMod val="60000"/>
            </a:schemeClr>
          </a:solidFill>
          <a:ln>
            <a:noFill/>
          </a:ln>
          <a:effectLst>
            <a:outerShdw blurRad="254000" sx="102000" sy="102000" algn="ctr" rotWithShape="0">
              <a:prstClr val="black">
                <a:alpha val="20000"/>
              </a:prstClr>
            </a:outerShdw>
          </a:effectLst>
        </c:spPr>
      </c:pivotFmt>
      <c:pivotFmt>
        <c:idx val="20"/>
        <c:spPr>
          <a:solidFill>
            <a:schemeClr val="accent2">
              <a:lumMod val="60000"/>
            </a:schemeClr>
          </a:solidFill>
          <a:ln>
            <a:noFill/>
          </a:ln>
          <a:effectLst>
            <a:outerShdw blurRad="254000" sx="102000" sy="102000" algn="ctr" rotWithShape="0">
              <a:prstClr val="black">
                <a:alpha val="20000"/>
              </a:prstClr>
            </a:outerShdw>
          </a:effectLst>
        </c:spPr>
      </c:pivotFmt>
      <c:pivotFmt>
        <c:idx val="21"/>
        <c:spPr>
          <a:solidFill>
            <a:schemeClr val="accent3">
              <a:lumMod val="60000"/>
            </a:schemeClr>
          </a:solidFill>
          <a:ln>
            <a:noFill/>
          </a:ln>
          <a:effectLst>
            <a:outerShdw blurRad="254000" sx="102000" sy="102000" algn="ctr" rotWithShape="0">
              <a:prstClr val="black">
                <a:alpha val="20000"/>
              </a:prstClr>
            </a:outerShdw>
          </a:effectLst>
        </c:spPr>
      </c:pivotFmt>
      <c:pivotFmt>
        <c:idx val="22"/>
        <c:spPr>
          <a:solidFill>
            <a:schemeClr val="accent4">
              <a:lumMod val="60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Sheet5!$E$15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92-4A18-8B3A-8BE91804AD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92-4A18-8B3A-8BE91804AD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492-4A18-8B3A-8BE91804AD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492-4A18-8B3A-8BE91804AD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492-4A18-8B3A-8BE91804AD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492-4A18-8B3A-8BE91804ADB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492-4A18-8B3A-8BE91804ADB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492-4A18-8B3A-8BE91804ADB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492-4A18-8B3A-8BE91804ADB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492-4A18-8B3A-8BE91804ADBF}"/>
              </c:ext>
            </c:extLst>
          </c:dPt>
          <c:dLbls>
            <c:delete val="1"/>
          </c:dLbls>
          <c:cat>
            <c:strRef>
              <c:f>Sheet5!$D$16:$D$26</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Sheet5!$E$16:$E$26</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14-C492-4A18-8B3A-8BE91804AD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6159420289855078"/>
          <c:y val="0.16866979425193449"/>
          <c:w val="0.40821256038647336"/>
          <c:h val="0.740713018645044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19</xdr:row>
      <xdr:rowOff>176893</xdr:rowOff>
    </xdr:to>
    <xdr:sp macro="" textlink="">
      <xdr:nvSpPr>
        <xdr:cNvPr id="2" name="Rectangle 1">
          <a:extLst>
            <a:ext uri="{FF2B5EF4-FFF2-40B4-BE49-F238E27FC236}">
              <a16:creationId xmlns:a16="http://schemas.microsoft.com/office/drawing/2014/main" id="{84753D1D-ECD5-D34A-BD5F-5D4C92E1810A}"/>
            </a:ext>
          </a:extLst>
        </xdr:cNvPr>
        <xdr:cNvSpPr/>
      </xdr:nvSpPr>
      <xdr:spPr>
        <a:xfrm>
          <a:off x="0" y="0"/>
          <a:ext cx="11662833" cy="3796393"/>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xdr:colOff>
      <xdr:row>0</xdr:row>
      <xdr:rowOff>38100</xdr:rowOff>
    </xdr:from>
    <xdr:to>
      <xdr:col>4</xdr:col>
      <xdr:colOff>381000</xdr:colOff>
      <xdr:row>3</xdr:row>
      <xdr:rowOff>38100</xdr:rowOff>
    </xdr:to>
    <xdr:sp macro="" textlink="">
      <xdr:nvSpPr>
        <xdr:cNvPr id="3" name="TextBox 2">
          <a:extLst>
            <a:ext uri="{FF2B5EF4-FFF2-40B4-BE49-F238E27FC236}">
              <a16:creationId xmlns:a16="http://schemas.microsoft.com/office/drawing/2014/main" id="{25FC11B3-3A99-3557-7C22-DCF0DDC36969}"/>
            </a:ext>
          </a:extLst>
        </xdr:cNvPr>
        <xdr:cNvSpPr txBox="1"/>
      </xdr:nvSpPr>
      <xdr:spPr>
        <a:xfrm>
          <a:off x="28575" y="38100"/>
          <a:ext cx="2790825" cy="5715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Restaurant Sales Dashboard</a:t>
          </a:r>
          <a:r>
            <a:rPr lang="en-IN" sz="1800" baseline="0"/>
            <a:t> </a:t>
          </a:r>
          <a:endParaRPr lang="en-IN" sz="1800"/>
        </a:p>
      </xdr:txBody>
    </xdr:sp>
    <xdr:clientData/>
  </xdr:twoCellAnchor>
  <xdr:twoCellAnchor>
    <xdr:from>
      <xdr:col>0</xdr:col>
      <xdr:colOff>38100</xdr:colOff>
      <xdr:row>3</xdr:row>
      <xdr:rowOff>100543</xdr:rowOff>
    </xdr:from>
    <xdr:to>
      <xdr:col>4</xdr:col>
      <xdr:colOff>390525</xdr:colOff>
      <xdr:row>19</xdr:row>
      <xdr:rowOff>100543</xdr:rowOff>
    </xdr:to>
    <xdr:sp macro="" textlink="">
      <xdr:nvSpPr>
        <xdr:cNvPr id="5" name="Rectangle 4">
          <a:extLst>
            <a:ext uri="{FF2B5EF4-FFF2-40B4-BE49-F238E27FC236}">
              <a16:creationId xmlns:a16="http://schemas.microsoft.com/office/drawing/2014/main" id="{47F122BD-811E-97B7-7443-7F7FB7486138}"/>
            </a:ext>
          </a:extLst>
        </xdr:cNvPr>
        <xdr:cNvSpPr/>
      </xdr:nvSpPr>
      <xdr:spPr>
        <a:xfrm>
          <a:off x="38100" y="672043"/>
          <a:ext cx="2807758" cy="3048000"/>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590550</xdr:colOff>
      <xdr:row>0</xdr:row>
      <xdr:rowOff>19049</xdr:rowOff>
    </xdr:from>
    <xdr:to>
      <xdr:col>7</xdr:col>
      <xdr:colOff>9525</xdr:colOff>
      <xdr:row>6</xdr:row>
      <xdr:rowOff>175460</xdr:rowOff>
    </xdr:to>
    <xdr:sp macro="" textlink="">
      <xdr:nvSpPr>
        <xdr:cNvPr id="6" name="Rectangle 5">
          <a:extLst>
            <a:ext uri="{FF2B5EF4-FFF2-40B4-BE49-F238E27FC236}">
              <a16:creationId xmlns:a16="http://schemas.microsoft.com/office/drawing/2014/main" id="{5B9F24B8-2E5A-514B-A114-398091D29011}"/>
            </a:ext>
          </a:extLst>
        </xdr:cNvPr>
        <xdr:cNvSpPr/>
      </xdr:nvSpPr>
      <xdr:spPr>
        <a:xfrm>
          <a:off x="3036971" y="19049"/>
          <a:ext cx="1253791" cy="1299411"/>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95250</xdr:colOff>
      <xdr:row>0</xdr:row>
      <xdr:rowOff>19049</xdr:rowOff>
    </xdr:from>
    <xdr:to>
      <xdr:col>9</xdr:col>
      <xdr:colOff>123825</xdr:colOff>
      <xdr:row>6</xdr:row>
      <xdr:rowOff>180974</xdr:rowOff>
    </xdr:to>
    <xdr:sp macro="" textlink="">
      <xdr:nvSpPr>
        <xdr:cNvPr id="7" name="Rectangle 6">
          <a:extLst>
            <a:ext uri="{FF2B5EF4-FFF2-40B4-BE49-F238E27FC236}">
              <a16:creationId xmlns:a16="http://schemas.microsoft.com/office/drawing/2014/main" id="{30BF4207-F3A3-4F7E-9AAF-08693785978C}"/>
            </a:ext>
          </a:extLst>
        </xdr:cNvPr>
        <xdr:cNvSpPr/>
      </xdr:nvSpPr>
      <xdr:spPr>
        <a:xfrm>
          <a:off x="4362450" y="19049"/>
          <a:ext cx="1247775" cy="1304925"/>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200025</xdr:colOff>
      <xdr:row>0</xdr:row>
      <xdr:rowOff>19050</xdr:rowOff>
    </xdr:from>
    <xdr:to>
      <xdr:col>11</xdr:col>
      <xdr:colOff>228600</xdr:colOff>
      <xdr:row>6</xdr:row>
      <xdr:rowOff>185487</xdr:rowOff>
    </xdr:to>
    <xdr:sp macro="" textlink="">
      <xdr:nvSpPr>
        <xdr:cNvPr id="8" name="Rectangle 7">
          <a:extLst>
            <a:ext uri="{FF2B5EF4-FFF2-40B4-BE49-F238E27FC236}">
              <a16:creationId xmlns:a16="http://schemas.microsoft.com/office/drawing/2014/main" id="{EEDD4140-F5BD-41FA-876F-243F7FF07005}"/>
            </a:ext>
          </a:extLst>
        </xdr:cNvPr>
        <xdr:cNvSpPr/>
      </xdr:nvSpPr>
      <xdr:spPr>
        <a:xfrm>
          <a:off x="5704472" y="19050"/>
          <a:ext cx="1251786" cy="1309437"/>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582084</xdr:colOff>
      <xdr:row>7</xdr:row>
      <xdr:rowOff>66675</xdr:rowOff>
    </xdr:from>
    <xdr:to>
      <xdr:col>11</xdr:col>
      <xdr:colOff>239184</xdr:colOff>
      <xdr:row>19</xdr:row>
      <xdr:rowOff>104775</xdr:rowOff>
    </xdr:to>
    <xdr:sp macro="" textlink="">
      <xdr:nvSpPr>
        <xdr:cNvPr id="9" name="Rectangle 8">
          <a:extLst>
            <a:ext uri="{FF2B5EF4-FFF2-40B4-BE49-F238E27FC236}">
              <a16:creationId xmlns:a16="http://schemas.microsoft.com/office/drawing/2014/main" id="{40E1CBB8-DB00-110A-1D6F-18B5272B59A2}"/>
            </a:ext>
          </a:extLst>
        </xdr:cNvPr>
        <xdr:cNvSpPr/>
      </xdr:nvSpPr>
      <xdr:spPr>
        <a:xfrm>
          <a:off x="3037417" y="1400175"/>
          <a:ext cx="3953934" cy="2324100"/>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328082</xdr:colOff>
      <xdr:row>0</xdr:row>
      <xdr:rowOff>10584</xdr:rowOff>
    </xdr:from>
    <xdr:to>
      <xdr:col>15</xdr:col>
      <xdr:colOff>74083</xdr:colOff>
      <xdr:row>9</xdr:row>
      <xdr:rowOff>95250</xdr:rowOff>
    </xdr:to>
    <xdr:sp macro="" textlink="">
      <xdr:nvSpPr>
        <xdr:cNvPr id="10" name="Rectangle 9">
          <a:extLst>
            <a:ext uri="{FF2B5EF4-FFF2-40B4-BE49-F238E27FC236}">
              <a16:creationId xmlns:a16="http://schemas.microsoft.com/office/drawing/2014/main" id="{6962DCC3-BA28-CE57-3025-F1DCC391C487}"/>
            </a:ext>
          </a:extLst>
        </xdr:cNvPr>
        <xdr:cNvSpPr/>
      </xdr:nvSpPr>
      <xdr:spPr>
        <a:xfrm>
          <a:off x="7033682" y="10584"/>
          <a:ext cx="2184401" cy="1799166"/>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181123</xdr:colOff>
      <xdr:row>0</xdr:row>
      <xdr:rowOff>26571</xdr:rowOff>
    </xdr:from>
    <xdr:to>
      <xdr:col>18</xdr:col>
      <xdr:colOff>536724</xdr:colOff>
      <xdr:row>9</xdr:row>
      <xdr:rowOff>79487</xdr:rowOff>
    </xdr:to>
    <xdr:sp macro="" textlink="">
      <xdr:nvSpPr>
        <xdr:cNvPr id="14" name="Rectangle 13">
          <a:extLst>
            <a:ext uri="{FF2B5EF4-FFF2-40B4-BE49-F238E27FC236}">
              <a16:creationId xmlns:a16="http://schemas.microsoft.com/office/drawing/2014/main" id="{74BAA9E6-716F-4507-B96C-59F7BECCA1D6}"/>
            </a:ext>
          </a:extLst>
        </xdr:cNvPr>
        <xdr:cNvSpPr/>
      </xdr:nvSpPr>
      <xdr:spPr>
        <a:xfrm>
          <a:off x="9365944" y="26571"/>
          <a:ext cx="2192566" cy="1736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181123</xdr:colOff>
      <xdr:row>0</xdr:row>
      <xdr:rowOff>26571</xdr:rowOff>
    </xdr:from>
    <xdr:to>
      <xdr:col>18</xdr:col>
      <xdr:colOff>539444</xdr:colOff>
      <xdr:row>9</xdr:row>
      <xdr:rowOff>79487</xdr:rowOff>
    </xdr:to>
    <xdr:sp macro="" textlink="">
      <xdr:nvSpPr>
        <xdr:cNvPr id="15" name="Rectangle 14">
          <a:extLst>
            <a:ext uri="{FF2B5EF4-FFF2-40B4-BE49-F238E27FC236}">
              <a16:creationId xmlns:a16="http://schemas.microsoft.com/office/drawing/2014/main" id="{C00814F9-F818-4FAA-AE0D-BACB7D7870A5}"/>
            </a:ext>
          </a:extLst>
        </xdr:cNvPr>
        <xdr:cNvSpPr/>
      </xdr:nvSpPr>
      <xdr:spPr>
        <a:xfrm>
          <a:off x="9365944" y="26571"/>
          <a:ext cx="2195286" cy="1736800"/>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340178</xdr:colOff>
      <xdr:row>9</xdr:row>
      <xdr:rowOff>182217</xdr:rowOff>
    </xdr:from>
    <xdr:to>
      <xdr:col>15</xdr:col>
      <xdr:colOff>86179</xdr:colOff>
      <xdr:row>19</xdr:row>
      <xdr:rowOff>103057</xdr:rowOff>
    </xdr:to>
    <xdr:sp macro="" textlink="">
      <xdr:nvSpPr>
        <xdr:cNvPr id="16" name="Rectangle 15">
          <a:extLst>
            <a:ext uri="{FF2B5EF4-FFF2-40B4-BE49-F238E27FC236}">
              <a16:creationId xmlns:a16="http://schemas.microsoft.com/office/drawing/2014/main" id="{9046D258-1A2F-4412-9DB0-60489F898C69}"/>
            </a:ext>
          </a:extLst>
        </xdr:cNvPr>
        <xdr:cNvSpPr/>
      </xdr:nvSpPr>
      <xdr:spPr>
        <a:xfrm>
          <a:off x="7082221" y="1896717"/>
          <a:ext cx="2197654" cy="1825840"/>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174525</xdr:colOff>
      <xdr:row>9</xdr:row>
      <xdr:rowOff>182217</xdr:rowOff>
    </xdr:from>
    <xdr:to>
      <xdr:col>18</xdr:col>
      <xdr:colOff>533440</xdr:colOff>
      <xdr:row>19</xdr:row>
      <xdr:rowOff>91109</xdr:rowOff>
    </xdr:to>
    <xdr:sp macro="" textlink="">
      <xdr:nvSpPr>
        <xdr:cNvPr id="17" name="Rectangle 16">
          <a:extLst>
            <a:ext uri="{FF2B5EF4-FFF2-40B4-BE49-F238E27FC236}">
              <a16:creationId xmlns:a16="http://schemas.microsoft.com/office/drawing/2014/main" id="{38E6ED33-C9C2-42B9-865F-679603AE76E8}"/>
            </a:ext>
          </a:extLst>
        </xdr:cNvPr>
        <xdr:cNvSpPr/>
      </xdr:nvSpPr>
      <xdr:spPr>
        <a:xfrm>
          <a:off x="9368221" y="1896717"/>
          <a:ext cx="2197654" cy="1813892"/>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38300</xdr:colOff>
      <xdr:row>7</xdr:row>
      <xdr:rowOff>116165</xdr:rowOff>
    </xdr:from>
    <xdr:to>
      <xdr:col>11</xdr:col>
      <xdr:colOff>190700</xdr:colOff>
      <xdr:row>19</xdr:row>
      <xdr:rowOff>59015</xdr:rowOff>
    </xdr:to>
    <xdr:graphicFrame macro="">
      <xdr:nvGraphicFramePr>
        <xdr:cNvPr id="18" name="Chart 17">
          <a:extLst>
            <a:ext uri="{FF2B5EF4-FFF2-40B4-BE49-F238E27FC236}">
              <a16:creationId xmlns:a16="http://schemas.microsoft.com/office/drawing/2014/main" id="{67EF9FA4-B643-4215-9397-F61D66840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43961</xdr:colOff>
      <xdr:row>3</xdr:row>
      <xdr:rowOff>153864</xdr:rowOff>
    </xdr:from>
    <xdr:to>
      <xdr:col>4</xdr:col>
      <xdr:colOff>351693</xdr:colOff>
      <xdr:row>19</xdr:row>
      <xdr:rowOff>65942</xdr:rowOff>
    </xdr:to>
    <xdr:graphicFrame macro="">
      <xdr:nvGraphicFramePr>
        <xdr:cNvPr id="24" name="Chart 23">
          <a:extLst>
            <a:ext uri="{FF2B5EF4-FFF2-40B4-BE49-F238E27FC236}">
              <a16:creationId xmlns:a16="http://schemas.microsoft.com/office/drawing/2014/main" id="{D10262D3-32FC-4312-B4B9-0F6FA82E4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232173</xdr:colOff>
      <xdr:row>0</xdr:row>
      <xdr:rowOff>57203</xdr:rowOff>
    </xdr:from>
    <xdr:to>
      <xdr:col>18</xdr:col>
      <xdr:colOff>488157</xdr:colOff>
      <xdr:row>9</xdr:row>
      <xdr:rowOff>41673</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A5EF1B14-93CF-4FD9-9A2C-F5D3D85A92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76173" y="57203"/>
              <a:ext cx="2084784" cy="1698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223345</xdr:colOff>
      <xdr:row>10</xdr:row>
      <xdr:rowOff>32846</xdr:rowOff>
    </xdr:from>
    <xdr:to>
      <xdr:col>18</xdr:col>
      <xdr:colOff>486104</xdr:colOff>
      <xdr:row>19</xdr:row>
      <xdr:rowOff>45984</xdr:rowOff>
    </xdr:to>
    <mc:AlternateContent xmlns:mc="http://schemas.openxmlformats.org/markup-compatibility/2006">
      <mc:Choice xmlns:a14="http://schemas.microsoft.com/office/drawing/2010/main" Requires="a14">
        <xdr:graphicFrame macro="">
          <xdr:nvGraphicFramePr>
            <xdr:cNvPr id="28" name="Sales">
              <a:extLst>
                <a:ext uri="{FF2B5EF4-FFF2-40B4-BE49-F238E27FC236}">
                  <a16:creationId xmlns:a16="http://schemas.microsoft.com/office/drawing/2014/main" id="{FC3F6E83-E88F-4564-BE49-64CD90D79582}"/>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9367345" y="1937846"/>
              <a:ext cx="2091559" cy="1727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369794</xdr:colOff>
      <xdr:row>0</xdr:row>
      <xdr:rowOff>0</xdr:rowOff>
    </xdr:from>
    <xdr:to>
      <xdr:col>15</xdr:col>
      <xdr:colOff>33617</xdr:colOff>
      <xdr:row>9</xdr:row>
      <xdr:rowOff>77932</xdr:rowOff>
    </xdr:to>
    <xdr:graphicFrame macro="">
      <xdr:nvGraphicFramePr>
        <xdr:cNvPr id="32" name="Chart 31">
          <a:extLst>
            <a:ext uri="{FF2B5EF4-FFF2-40B4-BE49-F238E27FC236}">
              <a16:creationId xmlns:a16="http://schemas.microsoft.com/office/drawing/2014/main" id="{0C7D7BDA-263F-4DAA-A4E0-0C33D3DF2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381000</xdr:colOff>
      <xdr:row>10</xdr:row>
      <xdr:rowOff>23949</xdr:rowOff>
    </xdr:from>
    <xdr:to>
      <xdr:col>15</xdr:col>
      <xdr:colOff>45720</xdr:colOff>
      <xdr:row>19</xdr:row>
      <xdr:rowOff>60960</xdr:rowOff>
    </xdr:to>
    <xdr:graphicFrame macro="">
      <xdr:nvGraphicFramePr>
        <xdr:cNvPr id="36" name="Chart 35">
          <a:extLst>
            <a:ext uri="{FF2B5EF4-FFF2-40B4-BE49-F238E27FC236}">
              <a16:creationId xmlns:a16="http://schemas.microsoft.com/office/drawing/2014/main" id="{7BAD12CC-50C9-4B22-8B25-B77D8AE58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47625</xdr:colOff>
      <xdr:row>0</xdr:row>
      <xdr:rowOff>76200</xdr:rowOff>
    </xdr:from>
    <xdr:to>
      <xdr:col>6</xdr:col>
      <xdr:colOff>552450</xdr:colOff>
      <xdr:row>3</xdr:row>
      <xdr:rowOff>57150</xdr:rowOff>
    </xdr:to>
    <xdr:sp macro="" textlink="">
      <xdr:nvSpPr>
        <xdr:cNvPr id="37" name="Rectangle 36">
          <a:extLst>
            <a:ext uri="{FF2B5EF4-FFF2-40B4-BE49-F238E27FC236}">
              <a16:creationId xmlns:a16="http://schemas.microsoft.com/office/drawing/2014/main" id="{2380CB6C-2F29-9EFE-16C3-C4D5DEA016DD}"/>
            </a:ext>
          </a:extLst>
        </xdr:cNvPr>
        <xdr:cNvSpPr/>
      </xdr:nvSpPr>
      <xdr:spPr>
        <a:xfrm>
          <a:off x="3095625" y="76200"/>
          <a:ext cx="1114425" cy="55245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SALES</a:t>
          </a:r>
        </a:p>
      </xdr:txBody>
    </xdr:sp>
    <xdr:clientData/>
  </xdr:twoCellAnchor>
  <xdr:twoCellAnchor>
    <xdr:from>
      <xdr:col>5</xdr:col>
      <xdr:colOff>47625</xdr:colOff>
      <xdr:row>3</xdr:row>
      <xdr:rowOff>133350</xdr:rowOff>
    </xdr:from>
    <xdr:to>
      <xdr:col>6</xdr:col>
      <xdr:colOff>552450</xdr:colOff>
      <xdr:row>6</xdr:row>
      <xdr:rowOff>114300</xdr:rowOff>
    </xdr:to>
    <xdr:sp macro="" textlink="Sheet5!J3">
      <xdr:nvSpPr>
        <xdr:cNvPr id="38" name="Rectangle 37">
          <a:extLst>
            <a:ext uri="{FF2B5EF4-FFF2-40B4-BE49-F238E27FC236}">
              <a16:creationId xmlns:a16="http://schemas.microsoft.com/office/drawing/2014/main" id="{762A1BE5-D4BD-44D6-B8E5-BB1A830838C0}"/>
            </a:ext>
          </a:extLst>
        </xdr:cNvPr>
        <xdr:cNvSpPr/>
      </xdr:nvSpPr>
      <xdr:spPr>
        <a:xfrm>
          <a:off x="3095625" y="704850"/>
          <a:ext cx="1114425" cy="55245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Calibri"/>
              <a:ea typeface="Calibri"/>
              <a:cs typeface="Calibri"/>
            </a:rPr>
            <a:t>1968923</a:t>
          </a:r>
          <a:endParaRPr lang="en-IN" sz="2000">
            <a:solidFill>
              <a:schemeClr val="bg1"/>
            </a:solidFill>
          </a:endParaRPr>
        </a:p>
      </xdr:txBody>
    </xdr:sp>
    <xdr:clientData/>
  </xdr:twoCellAnchor>
  <xdr:twoCellAnchor>
    <xdr:from>
      <xdr:col>7</xdr:col>
      <xdr:colOff>152400</xdr:colOff>
      <xdr:row>0</xdr:row>
      <xdr:rowOff>85724</xdr:rowOff>
    </xdr:from>
    <xdr:to>
      <xdr:col>9</xdr:col>
      <xdr:colOff>47625</xdr:colOff>
      <xdr:row>3</xdr:row>
      <xdr:rowOff>66674</xdr:rowOff>
    </xdr:to>
    <xdr:sp macro="" textlink="">
      <xdr:nvSpPr>
        <xdr:cNvPr id="39" name="Rectangle 38">
          <a:extLst>
            <a:ext uri="{FF2B5EF4-FFF2-40B4-BE49-F238E27FC236}">
              <a16:creationId xmlns:a16="http://schemas.microsoft.com/office/drawing/2014/main" id="{460846F6-A773-4D5B-A24D-C649A1E3D6F3}"/>
            </a:ext>
          </a:extLst>
        </xdr:cNvPr>
        <xdr:cNvSpPr/>
      </xdr:nvSpPr>
      <xdr:spPr>
        <a:xfrm>
          <a:off x="4419600" y="85724"/>
          <a:ext cx="1114425" cy="55245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QTY</a:t>
          </a:r>
        </a:p>
      </xdr:txBody>
    </xdr:sp>
    <xdr:clientData/>
  </xdr:twoCellAnchor>
  <xdr:twoCellAnchor>
    <xdr:from>
      <xdr:col>7</xdr:col>
      <xdr:colOff>161925</xdr:colOff>
      <xdr:row>3</xdr:row>
      <xdr:rowOff>133349</xdr:rowOff>
    </xdr:from>
    <xdr:to>
      <xdr:col>9</xdr:col>
      <xdr:colOff>57150</xdr:colOff>
      <xdr:row>6</xdr:row>
      <xdr:rowOff>114299</xdr:rowOff>
    </xdr:to>
    <xdr:sp macro="" textlink="">
      <xdr:nvSpPr>
        <xdr:cNvPr id="40" name="Rectangle 39">
          <a:extLst>
            <a:ext uri="{FF2B5EF4-FFF2-40B4-BE49-F238E27FC236}">
              <a16:creationId xmlns:a16="http://schemas.microsoft.com/office/drawing/2014/main" id="{1672816A-3846-4D55-B459-D2E349DEA554}"/>
            </a:ext>
          </a:extLst>
        </xdr:cNvPr>
        <xdr:cNvSpPr/>
      </xdr:nvSpPr>
      <xdr:spPr>
        <a:xfrm>
          <a:off x="4429125" y="704849"/>
          <a:ext cx="1114425" cy="55245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3587</a:t>
          </a:r>
        </a:p>
      </xdr:txBody>
    </xdr:sp>
    <xdr:clientData/>
  </xdr:twoCellAnchor>
  <xdr:twoCellAnchor>
    <xdr:from>
      <xdr:col>9</xdr:col>
      <xdr:colOff>266700</xdr:colOff>
      <xdr:row>0</xdr:row>
      <xdr:rowOff>85724</xdr:rowOff>
    </xdr:from>
    <xdr:to>
      <xdr:col>11</xdr:col>
      <xdr:colOff>161925</xdr:colOff>
      <xdr:row>3</xdr:row>
      <xdr:rowOff>66674</xdr:rowOff>
    </xdr:to>
    <xdr:sp macro="" textlink="">
      <xdr:nvSpPr>
        <xdr:cNvPr id="41" name="Rectangle 40">
          <a:extLst>
            <a:ext uri="{FF2B5EF4-FFF2-40B4-BE49-F238E27FC236}">
              <a16:creationId xmlns:a16="http://schemas.microsoft.com/office/drawing/2014/main" id="{171034F7-1B6B-4669-A3C8-F02A69D48528}"/>
            </a:ext>
          </a:extLst>
        </xdr:cNvPr>
        <xdr:cNvSpPr/>
      </xdr:nvSpPr>
      <xdr:spPr>
        <a:xfrm>
          <a:off x="5753100" y="85724"/>
          <a:ext cx="1114425" cy="55245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PRICE</a:t>
          </a:r>
        </a:p>
      </xdr:txBody>
    </xdr:sp>
    <xdr:clientData/>
  </xdr:twoCellAnchor>
  <xdr:twoCellAnchor>
    <xdr:from>
      <xdr:col>9</xdr:col>
      <xdr:colOff>266700</xdr:colOff>
      <xdr:row>3</xdr:row>
      <xdr:rowOff>142874</xdr:rowOff>
    </xdr:from>
    <xdr:to>
      <xdr:col>11</xdr:col>
      <xdr:colOff>161925</xdr:colOff>
      <xdr:row>6</xdr:row>
      <xdr:rowOff>123824</xdr:rowOff>
    </xdr:to>
    <xdr:sp macro="" textlink="">
      <xdr:nvSpPr>
        <xdr:cNvPr id="42" name="Rectangle 41">
          <a:extLst>
            <a:ext uri="{FF2B5EF4-FFF2-40B4-BE49-F238E27FC236}">
              <a16:creationId xmlns:a16="http://schemas.microsoft.com/office/drawing/2014/main" id="{247DB6AA-31A5-4EA2-843A-CEBBC57AF3CF}"/>
            </a:ext>
          </a:extLst>
        </xdr:cNvPr>
        <xdr:cNvSpPr/>
      </xdr:nvSpPr>
      <xdr:spPr>
        <a:xfrm>
          <a:off x="5753100" y="714374"/>
          <a:ext cx="1114425" cy="55245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653806</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staurant_sales_120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taurant_sales_1200"/>
    </sheetNames>
    <sheetDataSet>
      <sheetData sheetId="0">
        <row r="2">
          <cell r="B2">
            <v>44927</v>
          </cell>
        </row>
        <row r="3">
          <cell r="B3">
            <v>44927.303586319445</v>
          </cell>
        </row>
        <row r="4">
          <cell r="B4">
            <v>44927.607172638891</v>
          </cell>
        </row>
        <row r="5">
          <cell r="B5">
            <v>44927.910758969905</v>
          </cell>
        </row>
        <row r="6">
          <cell r="B6">
            <v>44928.214345289351</v>
          </cell>
        </row>
        <row r="7">
          <cell r="B7">
            <v>44928.517931608796</v>
          </cell>
        </row>
        <row r="8">
          <cell r="B8">
            <v>44928.821517928242</v>
          </cell>
        </row>
        <row r="9">
          <cell r="B9">
            <v>44929.125104259256</v>
          </cell>
        </row>
        <row r="10">
          <cell r="B10">
            <v>44929.428690578701</v>
          </cell>
        </row>
        <row r="11">
          <cell r="B11">
            <v>44929.732276898147</v>
          </cell>
        </row>
        <row r="12">
          <cell r="B12">
            <v>44930.035863217592</v>
          </cell>
        </row>
        <row r="13">
          <cell r="B13">
            <v>44930.339449537038</v>
          </cell>
        </row>
        <row r="14">
          <cell r="B14">
            <v>44930.643035868059</v>
          </cell>
        </row>
        <row r="15">
          <cell r="B15">
            <v>44930.946622187497</v>
          </cell>
        </row>
        <row r="16">
          <cell r="B16">
            <v>44931.250208506943</v>
          </cell>
        </row>
        <row r="17">
          <cell r="B17">
            <v>44931.553794826388</v>
          </cell>
        </row>
        <row r="18">
          <cell r="B18">
            <v>44931.857381145834</v>
          </cell>
        </row>
        <row r="19">
          <cell r="B19">
            <v>44932.160967476855</v>
          </cell>
        </row>
        <row r="20">
          <cell r="B20">
            <v>44932.464553796293</v>
          </cell>
        </row>
        <row r="21">
          <cell r="B21">
            <v>44932.768140115739</v>
          </cell>
        </row>
        <row r="22">
          <cell r="B22">
            <v>44933.071726435184</v>
          </cell>
        </row>
        <row r="23">
          <cell r="B23">
            <v>44933.375312766206</v>
          </cell>
        </row>
        <row r="24">
          <cell r="B24">
            <v>44933.678899085651</v>
          </cell>
        </row>
        <row r="25">
          <cell r="B25">
            <v>44933.982485405089</v>
          </cell>
        </row>
        <row r="26">
          <cell r="B26">
            <v>44934.286071724535</v>
          </cell>
        </row>
        <row r="27">
          <cell r="B27">
            <v>44934.58965804398</v>
          </cell>
        </row>
        <row r="28">
          <cell r="B28">
            <v>44934.893244375002</v>
          </cell>
        </row>
        <row r="29">
          <cell r="B29">
            <v>44935.196830694447</v>
          </cell>
        </row>
        <row r="30">
          <cell r="B30">
            <v>44935.500417013885</v>
          </cell>
        </row>
        <row r="31">
          <cell r="B31">
            <v>44935.804003333331</v>
          </cell>
        </row>
        <row r="32">
          <cell r="B32">
            <v>44936.107589652776</v>
          </cell>
        </row>
        <row r="33">
          <cell r="B33">
            <v>44936.411175983798</v>
          </cell>
        </row>
        <row r="34">
          <cell r="B34">
            <v>44936.714762303243</v>
          </cell>
        </row>
        <row r="35">
          <cell r="B35">
            <v>44937.018348622689</v>
          </cell>
        </row>
        <row r="36">
          <cell r="B36">
            <v>44937.321934942127</v>
          </cell>
        </row>
        <row r="37">
          <cell r="B37">
            <v>44937.625521273148</v>
          </cell>
        </row>
        <row r="38">
          <cell r="B38">
            <v>44937.929107592594</v>
          </cell>
        </row>
        <row r="39">
          <cell r="B39">
            <v>44938.232693912039</v>
          </cell>
        </row>
        <row r="40">
          <cell r="B40">
            <v>44938.536280231485</v>
          </cell>
        </row>
        <row r="41">
          <cell r="B41">
            <v>44938.839866550923</v>
          </cell>
        </row>
        <row r="42">
          <cell r="B42">
            <v>44939.143452881945</v>
          </cell>
        </row>
        <row r="43">
          <cell r="B43">
            <v>44939.44703920139</v>
          </cell>
        </row>
        <row r="44">
          <cell r="B44">
            <v>44939.750625520835</v>
          </cell>
        </row>
        <row r="45">
          <cell r="B45">
            <v>44940.054211840281</v>
          </cell>
        </row>
        <row r="46">
          <cell r="B46">
            <v>44940.357798159719</v>
          </cell>
        </row>
        <row r="47">
          <cell r="B47">
            <v>44940.661384490741</v>
          </cell>
        </row>
        <row r="48">
          <cell r="B48">
            <v>44940.964970810186</v>
          </cell>
        </row>
        <row r="49">
          <cell r="B49">
            <v>44941.268557129632</v>
          </cell>
        </row>
        <row r="50">
          <cell r="B50">
            <v>44941.572143449077</v>
          </cell>
        </row>
        <row r="51">
          <cell r="B51">
            <v>44941.875729780091</v>
          </cell>
        </row>
        <row r="52">
          <cell r="B52">
            <v>44942.179316099537</v>
          </cell>
        </row>
        <row r="53">
          <cell r="B53">
            <v>44942.482902418982</v>
          </cell>
        </row>
        <row r="54">
          <cell r="B54">
            <v>44942.786488738428</v>
          </cell>
        </row>
        <row r="55">
          <cell r="B55">
            <v>44943.090075057873</v>
          </cell>
        </row>
        <row r="56">
          <cell r="B56">
            <v>44943.393661388887</v>
          </cell>
        </row>
        <row r="57">
          <cell r="B57">
            <v>44943.697247708333</v>
          </cell>
        </row>
        <row r="58">
          <cell r="B58">
            <v>44944.000834027778</v>
          </cell>
        </row>
        <row r="59">
          <cell r="B59">
            <v>44944.304420347224</v>
          </cell>
        </row>
        <row r="60">
          <cell r="B60">
            <v>44944.608006666669</v>
          </cell>
        </row>
        <row r="61">
          <cell r="B61">
            <v>44944.911592997683</v>
          </cell>
        </row>
        <row r="62">
          <cell r="B62">
            <v>44945.215179317129</v>
          </cell>
        </row>
        <row r="63">
          <cell r="B63">
            <v>44945.518765636574</v>
          </cell>
        </row>
        <row r="64">
          <cell r="B64">
            <v>44945.82235195602</v>
          </cell>
        </row>
        <row r="65">
          <cell r="B65">
            <v>44946.125938287034</v>
          </cell>
        </row>
        <row r="66">
          <cell r="B66">
            <v>44946.429524606479</v>
          </cell>
        </row>
        <row r="67">
          <cell r="B67">
            <v>44946.733110925925</v>
          </cell>
        </row>
        <row r="68">
          <cell r="B68">
            <v>44947.03669724537</v>
          </cell>
        </row>
        <row r="69">
          <cell r="B69">
            <v>44947.340283564816</v>
          </cell>
        </row>
        <row r="70">
          <cell r="B70">
            <v>44947.64386989583</v>
          </cell>
        </row>
        <row r="71">
          <cell r="B71">
            <v>44947.947456215275</v>
          </cell>
        </row>
        <row r="72">
          <cell r="B72">
            <v>44948.251042534721</v>
          </cell>
        </row>
        <row r="73">
          <cell r="B73">
            <v>44948.554628854166</v>
          </cell>
        </row>
        <row r="74">
          <cell r="B74">
            <v>44948.858215173612</v>
          </cell>
        </row>
        <row r="75">
          <cell r="B75">
            <v>44949.161801504626</v>
          </cell>
        </row>
        <row r="76">
          <cell r="B76">
            <v>44949.465387824072</v>
          </cell>
        </row>
        <row r="77">
          <cell r="B77">
            <v>44949.768974143517</v>
          </cell>
        </row>
        <row r="78">
          <cell r="B78">
            <v>44950.072560462962</v>
          </cell>
        </row>
        <row r="79">
          <cell r="B79">
            <v>44950.376146793984</v>
          </cell>
        </row>
        <row r="80">
          <cell r="B80">
            <v>44950.679733113429</v>
          </cell>
        </row>
        <row r="81">
          <cell r="B81">
            <v>44950.983319432868</v>
          </cell>
        </row>
        <row r="82">
          <cell r="B82">
            <v>44951.286905752313</v>
          </cell>
        </row>
        <row r="83">
          <cell r="B83">
            <v>44951.590492071758</v>
          </cell>
        </row>
        <row r="84">
          <cell r="B84">
            <v>44951.89407840278</v>
          </cell>
        </row>
        <row r="85">
          <cell r="B85">
            <v>44952.197664722225</v>
          </cell>
        </row>
        <row r="86">
          <cell r="B86">
            <v>44952.501251041664</v>
          </cell>
        </row>
        <row r="87">
          <cell r="B87">
            <v>44952.804837361109</v>
          </cell>
        </row>
        <row r="88">
          <cell r="B88">
            <v>44953.108423692131</v>
          </cell>
        </row>
        <row r="89">
          <cell r="B89">
            <v>44953.412010011576</v>
          </cell>
        </row>
        <row r="90">
          <cell r="B90">
            <v>44953.715596331022</v>
          </cell>
        </row>
        <row r="91">
          <cell r="B91">
            <v>44954.01918265046</v>
          </cell>
        </row>
        <row r="92">
          <cell r="B92">
            <v>44954.322768969905</v>
          </cell>
        </row>
        <row r="93">
          <cell r="B93">
            <v>44954.626355300927</v>
          </cell>
        </row>
        <row r="94">
          <cell r="B94">
            <v>44954.929941620372</v>
          </cell>
        </row>
        <row r="95">
          <cell r="B95">
            <v>44955.233527939818</v>
          </cell>
        </row>
        <row r="96">
          <cell r="B96">
            <v>44955.537114259256</v>
          </cell>
        </row>
        <row r="97">
          <cell r="B97">
            <v>44955.840700578701</v>
          </cell>
        </row>
        <row r="98">
          <cell r="B98">
            <v>44956.144286909723</v>
          </cell>
        </row>
        <row r="99">
          <cell r="B99">
            <v>44956.447873229168</v>
          </cell>
        </row>
        <row r="100">
          <cell r="B100">
            <v>44956.751459548614</v>
          </cell>
        </row>
        <row r="101">
          <cell r="B101">
            <v>44957.055045868059</v>
          </cell>
        </row>
        <row r="102">
          <cell r="B102">
            <v>44957.358632199073</v>
          </cell>
        </row>
        <row r="103">
          <cell r="B103">
            <v>44957.662218518519</v>
          </cell>
        </row>
        <row r="104">
          <cell r="B104">
            <v>44957.965804837964</v>
          </cell>
        </row>
        <row r="105">
          <cell r="B105">
            <v>44958.26939115741</v>
          </cell>
        </row>
        <row r="106">
          <cell r="B106">
            <v>44958.572977476855</v>
          </cell>
        </row>
        <row r="107">
          <cell r="B107">
            <v>44958.876563807869</v>
          </cell>
        </row>
        <row r="108">
          <cell r="B108">
            <v>44959.180150127315</v>
          </cell>
        </row>
        <row r="109">
          <cell r="B109">
            <v>44959.48373644676</v>
          </cell>
        </row>
        <row r="110">
          <cell r="B110">
            <v>44959.787322766206</v>
          </cell>
        </row>
        <row r="111">
          <cell r="B111">
            <v>44960.090909085651</v>
          </cell>
        </row>
        <row r="112">
          <cell r="B112">
            <v>44960.394495416665</v>
          </cell>
        </row>
        <row r="113">
          <cell r="B113">
            <v>44960.698081736111</v>
          </cell>
        </row>
        <row r="114">
          <cell r="B114">
            <v>44961.001668055556</v>
          </cell>
        </row>
        <row r="115">
          <cell r="B115">
            <v>44961.305254375002</v>
          </cell>
        </row>
        <row r="116">
          <cell r="B116">
            <v>44961.608840706016</v>
          </cell>
        </row>
        <row r="117">
          <cell r="B117">
            <v>44961.912427025462</v>
          </cell>
        </row>
        <row r="118">
          <cell r="B118">
            <v>44962.216013344907</v>
          </cell>
        </row>
        <row r="119">
          <cell r="B119">
            <v>44962.519599664352</v>
          </cell>
        </row>
        <row r="120">
          <cell r="B120">
            <v>44962.823185983798</v>
          </cell>
        </row>
        <row r="121">
          <cell r="B121">
            <v>44963.126772314812</v>
          </cell>
        </row>
        <row r="122">
          <cell r="B122">
            <v>44963.430358634258</v>
          </cell>
        </row>
        <row r="123">
          <cell r="B123">
            <v>44963.733944953703</v>
          </cell>
        </row>
        <row r="124">
          <cell r="B124">
            <v>44964.037531273148</v>
          </cell>
        </row>
        <row r="125">
          <cell r="B125">
            <v>44964.341117592594</v>
          </cell>
        </row>
        <row r="126">
          <cell r="B126">
            <v>44964.644703923608</v>
          </cell>
        </row>
        <row r="127">
          <cell r="B127">
            <v>44964.948290243054</v>
          </cell>
        </row>
        <row r="128">
          <cell r="B128">
            <v>44965.251876562499</v>
          </cell>
        </row>
        <row r="129">
          <cell r="B129">
            <v>44965.555462881945</v>
          </cell>
        </row>
        <row r="130">
          <cell r="B130">
            <v>44965.859049212966</v>
          </cell>
        </row>
        <row r="131">
          <cell r="B131">
            <v>44966.162635532404</v>
          </cell>
        </row>
        <row r="132">
          <cell r="B132">
            <v>44966.46622185185</v>
          </cell>
        </row>
        <row r="133">
          <cell r="B133">
            <v>44966.769808171295</v>
          </cell>
        </row>
        <row r="134">
          <cell r="B134">
            <v>44967.073394490741</v>
          </cell>
        </row>
        <row r="135">
          <cell r="B135">
            <v>44967.376980821762</v>
          </cell>
        </row>
        <row r="136">
          <cell r="B136">
            <v>44967.6805671412</v>
          </cell>
        </row>
        <row r="137">
          <cell r="B137">
            <v>44967.984153460646</v>
          </cell>
        </row>
        <row r="138">
          <cell r="B138">
            <v>44968.287739780091</v>
          </cell>
        </row>
        <row r="139">
          <cell r="B139">
            <v>44968.591326099537</v>
          </cell>
        </row>
        <row r="140">
          <cell r="B140">
            <v>44968.894912430558</v>
          </cell>
        </row>
        <row r="141">
          <cell r="B141">
            <v>44969.198498750004</v>
          </cell>
        </row>
        <row r="142">
          <cell r="B142">
            <v>44969.502085069442</v>
          </cell>
        </row>
        <row r="143">
          <cell r="B143">
            <v>44969.805671388887</v>
          </cell>
        </row>
        <row r="144">
          <cell r="B144">
            <v>44970.109257719909</v>
          </cell>
        </row>
        <row r="145">
          <cell r="B145">
            <v>44970.412844039354</v>
          </cell>
        </row>
        <row r="146">
          <cell r="B146">
            <v>44970.7164303588</v>
          </cell>
        </row>
        <row r="147">
          <cell r="B147">
            <v>44971.020016678238</v>
          </cell>
        </row>
        <row r="148">
          <cell r="B148">
            <v>44971.323602997683</v>
          </cell>
        </row>
        <row r="149">
          <cell r="B149">
            <v>44971.627189328705</v>
          </cell>
        </row>
        <row r="150">
          <cell r="B150">
            <v>44971.93077564815</v>
          </cell>
        </row>
        <row r="151">
          <cell r="B151">
            <v>44972.234361967596</v>
          </cell>
        </row>
        <row r="152">
          <cell r="B152">
            <v>44972.537948287034</v>
          </cell>
        </row>
        <row r="153">
          <cell r="B153">
            <v>44972.841534606479</v>
          </cell>
        </row>
        <row r="154">
          <cell r="B154">
            <v>44973.145120937501</v>
          </cell>
        </row>
        <row r="155">
          <cell r="B155">
            <v>44973.448707256946</v>
          </cell>
        </row>
        <row r="156">
          <cell r="B156">
            <v>44973.752293576392</v>
          </cell>
        </row>
        <row r="157">
          <cell r="B157">
            <v>44974.05587989583</v>
          </cell>
        </row>
        <row r="158">
          <cell r="B158">
            <v>44974.359466226852</v>
          </cell>
        </row>
        <row r="159">
          <cell r="B159">
            <v>44974.663052546297</v>
          </cell>
        </row>
        <row r="160">
          <cell r="B160">
            <v>44974.966638865742</v>
          </cell>
        </row>
        <row r="161">
          <cell r="B161">
            <v>44975.270225185188</v>
          </cell>
        </row>
        <row r="162">
          <cell r="B162">
            <v>44975.573811504626</v>
          </cell>
        </row>
        <row r="163">
          <cell r="B163">
            <v>44975.877397835648</v>
          </cell>
        </row>
        <row r="164">
          <cell r="B164">
            <v>44976.180984155093</v>
          </cell>
        </row>
        <row r="165">
          <cell r="B165">
            <v>44976.484570474538</v>
          </cell>
        </row>
        <row r="166">
          <cell r="B166">
            <v>44976.788156793984</v>
          </cell>
        </row>
        <row r="167">
          <cell r="B167">
            <v>44977.091743124998</v>
          </cell>
        </row>
        <row r="168">
          <cell r="B168">
            <v>44977.395329444444</v>
          </cell>
        </row>
        <row r="169">
          <cell r="B169">
            <v>44977.698915763889</v>
          </cell>
        </row>
        <row r="170">
          <cell r="B170">
            <v>44978.002502083335</v>
          </cell>
        </row>
        <row r="171">
          <cell r="B171">
            <v>44978.30608840278</v>
          </cell>
        </row>
        <row r="172">
          <cell r="B172">
            <v>44978.609674733794</v>
          </cell>
        </row>
        <row r="173">
          <cell r="B173">
            <v>44978.91326105324</v>
          </cell>
        </row>
        <row r="174">
          <cell r="B174">
            <v>44979.216847372685</v>
          </cell>
        </row>
        <row r="175">
          <cell r="B175">
            <v>44979.520433692131</v>
          </cell>
        </row>
        <row r="176">
          <cell r="B176">
            <v>44979.824020011576</v>
          </cell>
        </row>
        <row r="177">
          <cell r="B177">
            <v>44980.12760634259</v>
          </cell>
        </row>
        <row r="178">
          <cell r="B178">
            <v>44980.431192662036</v>
          </cell>
        </row>
        <row r="179">
          <cell r="B179">
            <v>44980.734778981481</v>
          </cell>
        </row>
        <row r="180">
          <cell r="B180">
            <v>44981.038365300927</v>
          </cell>
        </row>
        <row r="181">
          <cell r="B181">
            <v>44981.341951631941</v>
          </cell>
        </row>
        <row r="182">
          <cell r="B182">
            <v>44981.645537951386</v>
          </cell>
        </row>
        <row r="183">
          <cell r="B183">
            <v>44981.949124270832</v>
          </cell>
        </row>
        <row r="184">
          <cell r="B184">
            <v>44982.252710590277</v>
          </cell>
        </row>
        <row r="185">
          <cell r="B185">
            <v>44982.556296909723</v>
          </cell>
        </row>
        <row r="186">
          <cell r="B186">
            <v>44982.859883240744</v>
          </cell>
        </row>
        <row r="187">
          <cell r="B187">
            <v>44983.163469560182</v>
          </cell>
        </row>
        <row r="188">
          <cell r="B188">
            <v>44983.467055879628</v>
          </cell>
        </row>
        <row r="189">
          <cell r="B189">
            <v>44983.770642199073</v>
          </cell>
        </row>
        <row r="190">
          <cell r="B190">
            <v>44984.074228518519</v>
          </cell>
        </row>
        <row r="191">
          <cell r="B191">
            <v>44984.37781484954</v>
          </cell>
        </row>
        <row r="192">
          <cell r="B192">
            <v>44984.681401168978</v>
          </cell>
        </row>
        <row r="193">
          <cell r="B193">
            <v>44984.984987488424</v>
          </cell>
        </row>
        <row r="194">
          <cell r="B194">
            <v>44985.288573807869</v>
          </cell>
        </row>
        <row r="195">
          <cell r="B195">
            <v>44985.592160138891</v>
          </cell>
        </row>
        <row r="196">
          <cell r="B196">
            <v>44985.895746458336</v>
          </cell>
        </row>
        <row r="197">
          <cell r="B197">
            <v>44986.199332777775</v>
          </cell>
        </row>
        <row r="198">
          <cell r="B198">
            <v>44986.50291909722</v>
          </cell>
        </row>
        <row r="199">
          <cell r="B199">
            <v>44986.806505416665</v>
          </cell>
        </row>
        <row r="200">
          <cell r="B200">
            <v>44987.110091747687</v>
          </cell>
        </row>
        <row r="201">
          <cell r="B201">
            <v>44987.413678067132</v>
          </cell>
        </row>
        <row r="202">
          <cell r="B202">
            <v>44987.717264386571</v>
          </cell>
        </row>
        <row r="203">
          <cell r="B203">
            <v>44988.020850706016</v>
          </cell>
        </row>
        <row r="204">
          <cell r="B204">
            <v>44988.324437025462</v>
          </cell>
        </row>
        <row r="205">
          <cell r="B205">
            <v>44988.628023356483</v>
          </cell>
        </row>
        <row r="206">
          <cell r="B206">
            <v>44988.931609675928</v>
          </cell>
        </row>
        <row r="207">
          <cell r="B207">
            <v>44989.235195995374</v>
          </cell>
        </row>
        <row r="208">
          <cell r="B208">
            <v>44989.538782314812</v>
          </cell>
        </row>
        <row r="209">
          <cell r="B209">
            <v>44989.842368645834</v>
          </cell>
        </row>
        <row r="210">
          <cell r="B210">
            <v>44990.145954965279</v>
          </cell>
        </row>
        <row r="211">
          <cell r="B211">
            <v>44990.449541284725</v>
          </cell>
        </row>
        <row r="212">
          <cell r="B212">
            <v>44990.75312760417</v>
          </cell>
        </row>
        <row r="213">
          <cell r="B213">
            <v>44991.056713923608</v>
          </cell>
        </row>
        <row r="214">
          <cell r="B214">
            <v>44991.36030025463</v>
          </cell>
        </row>
        <row r="215">
          <cell r="B215">
            <v>44991.663886574075</v>
          </cell>
        </row>
        <row r="216">
          <cell r="B216">
            <v>44991.967472893521</v>
          </cell>
        </row>
        <row r="217">
          <cell r="B217">
            <v>44992.271059212966</v>
          </cell>
        </row>
        <row r="218">
          <cell r="B218">
            <v>44992.574645532404</v>
          </cell>
        </row>
        <row r="219">
          <cell r="B219">
            <v>44992.878231863426</v>
          </cell>
        </row>
        <row r="220">
          <cell r="B220">
            <v>44993.181818182871</v>
          </cell>
        </row>
        <row r="221">
          <cell r="B221">
            <v>44993.485404502317</v>
          </cell>
        </row>
        <row r="222">
          <cell r="B222">
            <v>44993.788990821762</v>
          </cell>
        </row>
        <row r="223">
          <cell r="B223">
            <v>44994.092577152776</v>
          </cell>
        </row>
        <row r="224">
          <cell r="B224">
            <v>44994.396163472222</v>
          </cell>
        </row>
        <row r="225">
          <cell r="B225">
            <v>44994.699749791667</v>
          </cell>
        </row>
        <row r="226">
          <cell r="B226">
            <v>44995.003336111113</v>
          </cell>
        </row>
        <row r="227">
          <cell r="B227">
            <v>44995.306922430558</v>
          </cell>
        </row>
        <row r="228">
          <cell r="B228">
            <v>44995.610508761572</v>
          </cell>
        </row>
        <row r="229">
          <cell r="B229">
            <v>44995.914095081018</v>
          </cell>
        </row>
        <row r="230">
          <cell r="B230">
            <v>44996.217681400463</v>
          </cell>
        </row>
        <row r="231">
          <cell r="B231">
            <v>44996.521267719909</v>
          </cell>
        </row>
        <row r="232">
          <cell r="B232">
            <v>44996.824854039354</v>
          </cell>
        </row>
        <row r="233">
          <cell r="B233">
            <v>44997.128440370368</v>
          </cell>
        </row>
        <row r="234">
          <cell r="B234">
            <v>44997.432026689814</v>
          </cell>
        </row>
        <row r="235">
          <cell r="B235">
            <v>44997.735613009259</v>
          </cell>
        </row>
        <row r="236">
          <cell r="B236">
            <v>44998.039199328705</v>
          </cell>
        </row>
        <row r="237">
          <cell r="B237">
            <v>44998.342785659719</v>
          </cell>
        </row>
        <row r="238">
          <cell r="B238">
            <v>44998.646371979165</v>
          </cell>
        </row>
        <row r="239">
          <cell r="B239">
            <v>44998.94995829861</v>
          </cell>
        </row>
        <row r="240">
          <cell r="B240">
            <v>44999.253544618055</v>
          </cell>
        </row>
        <row r="241">
          <cell r="B241">
            <v>44999.557130937501</v>
          </cell>
        </row>
        <row r="242">
          <cell r="B242">
            <v>44999.860717268515</v>
          </cell>
        </row>
        <row r="243">
          <cell r="B243">
            <v>45000.164303587961</v>
          </cell>
        </row>
        <row r="244">
          <cell r="B244">
            <v>45000.467889907406</v>
          </cell>
        </row>
        <row r="245">
          <cell r="B245">
            <v>45000.771476226852</v>
          </cell>
        </row>
        <row r="246">
          <cell r="B246">
            <v>45001.075062557873</v>
          </cell>
        </row>
        <row r="247">
          <cell r="B247">
            <v>45001.378648877311</v>
          </cell>
        </row>
        <row r="248">
          <cell r="B248">
            <v>45001.682235196757</v>
          </cell>
        </row>
        <row r="249">
          <cell r="B249">
            <v>45001.985821516202</v>
          </cell>
        </row>
        <row r="250">
          <cell r="B250">
            <v>45002.289407835648</v>
          </cell>
        </row>
        <row r="251">
          <cell r="B251">
            <v>45002.592994166669</v>
          </cell>
        </row>
        <row r="252">
          <cell r="B252">
            <v>45002.896580486115</v>
          </cell>
        </row>
        <row r="253">
          <cell r="B253">
            <v>45003.200166805553</v>
          </cell>
        </row>
        <row r="254">
          <cell r="B254">
            <v>45003.503753124998</v>
          </cell>
        </row>
        <row r="255">
          <cell r="B255">
            <v>45003.807339444444</v>
          </cell>
        </row>
        <row r="256">
          <cell r="B256">
            <v>45004.110925775465</v>
          </cell>
        </row>
        <row r="257">
          <cell r="B257">
            <v>45004.414512094911</v>
          </cell>
        </row>
        <row r="258">
          <cell r="B258">
            <v>45004.718098414349</v>
          </cell>
        </row>
        <row r="259">
          <cell r="B259">
            <v>45005.021684733794</v>
          </cell>
        </row>
        <row r="260">
          <cell r="B260">
            <v>45005.325271064816</v>
          </cell>
        </row>
        <row r="261">
          <cell r="B261">
            <v>45005.628857384261</v>
          </cell>
        </row>
        <row r="262">
          <cell r="B262">
            <v>45005.932443703707</v>
          </cell>
        </row>
        <row r="263">
          <cell r="B263">
            <v>45006.236030023145</v>
          </cell>
        </row>
        <row r="264">
          <cell r="B264">
            <v>45006.53961634259</v>
          </cell>
        </row>
        <row r="265">
          <cell r="B265">
            <v>45006.843202673612</v>
          </cell>
        </row>
        <row r="266">
          <cell r="B266">
            <v>45007.146788993057</v>
          </cell>
        </row>
        <row r="267">
          <cell r="B267">
            <v>45007.450375312503</v>
          </cell>
        </row>
        <row r="268">
          <cell r="B268">
            <v>45007.753961631941</v>
          </cell>
        </row>
        <row r="269">
          <cell r="B269">
            <v>45008.057547951386</v>
          </cell>
        </row>
        <row r="270">
          <cell r="B270">
            <v>45008.361134282408</v>
          </cell>
        </row>
        <row r="271">
          <cell r="B271">
            <v>45008.664720601853</v>
          </cell>
        </row>
        <row r="272">
          <cell r="B272">
            <v>45008.968306921299</v>
          </cell>
        </row>
        <row r="273">
          <cell r="B273">
            <v>45009.271893240744</v>
          </cell>
        </row>
        <row r="274">
          <cell r="B274">
            <v>45009.575479571758</v>
          </cell>
        </row>
        <row r="275">
          <cell r="B275">
            <v>45009.879065891204</v>
          </cell>
        </row>
        <row r="276">
          <cell r="B276">
            <v>45010.182652210649</v>
          </cell>
        </row>
        <row r="277">
          <cell r="B277">
            <v>45010.486238530095</v>
          </cell>
        </row>
        <row r="278">
          <cell r="B278">
            <v>45010.78982484954</v>
          </cell>
        </row>
        <row r="279">
          <cell r="B279">
            <v>45011.093411180555</v>
          </cell>
        </row>
        <row r="280">
          <cell r="B280">
            <v>45011.3969975</v>
          </cell>
        </row>
        <row r="281">
          <cell r="B281">
            <v>45011.700583819445</v>
          </cell>
        </row>
        <row r="282">
          <cell r="B282">
            <v>45012.004170138891</v>
          </cell>
        </row>
        <row r="283">
          <cell r="B283">
            <v>45012.307756458336</v>
          </cell>
        </row>
        <row r="284">
          <cell r="B284">
            <v>45012.611342789351</v>
          </cell>
        </row>
        <row r="285">
          <cell r="B285">
            <v>45012.914929108796</v>
          </cell>
        </row>
        <row r="286">
          <cell r="B286">
            <v>45013.218515428242</v>
          </cell>
        </row>
        <row r="287">
          <cell r="B287">
            <v>45013.522101747687</v>
          </cell>
        </row>
        <row r="288">
          <cell r="B288">
            <v>45013.825688078701</v>
          </cell>
        </row>
        <row r="289">
          <cell r="B289">
            <v>45014.129274398147</v>
          </cell>
        </row>
        <row r="290">
          <cell r="B290">
            <v>45014.432860717592</v>
          </cell>
        </row>
        <row r="291">
          <cell r="B291">
            <v>45014.736447037038</v>
          </cell>
        </row>
        <row r="292">
          <cell r="B292">
            <v>45015.040033356483</v>
          </cell>
        </row>
        <row r="293">
          <cell r="B293">
            <v>45015.343619687497</v>
          </cell>
        </row>
        <row r="294">
          <cell r="B294">
            <v>45015.647206006943</v>
          </cell>
        </row>
        <row r="295">
          <cell r="B295">
            <v>45015.950792326388</v>
          </cell>
        </row>
        <row r="296">
          <cell r="B296">
            <v>45016.254378645834</v>
          </cell>
        </row>
        <row r="297">
          <cell r="B297">
            <v>45016.557964965279</v>
          </cell>
        </row>
        <row r="298">
          <cell r="B298">
            <v>45016.861551296293</v>
          </cell>
        </row>
        <row r="299">
          <cell r="B299">
            <v>45017.165137615739</v>
          </cell>
        </row>
        <row r="300">
          <cell r="B300">
            <v>45017.468723935184</v>
          </cell>
        </row>
        <row r="301">
          <cell r="B301">
            <v>45017.77231025463</v>
          </cell>
        </row>
        <row r="302">
          <cell r="B302">
            <v>45018.075896585651</v>
          </cell>
        </row>
        <row r="303">
          <cell r="B303">
            <v>45018.379482905089</v>
          </cell>
        </row>
        <row r="304">
          <cell r="B304">
            <v>45018.683069224535</v>
          </cell>
        </row>
        <row r="305">
          <cell r="B305">
            <v>45018.98665554398</v>
          </cell>
        </row>
        <row r="306">
          <cell r="B306">
            <v>45019.290241863426</v>
          </cell>
        </row>
        <row r="307">
          <cell r="B307">
            <v>45019.593828194447</v>
          </cell>
        </row>
        <row r="308">
          <cell r="B308">
            <v>45019.897414513885</v>
          </cell>
        </row>
        <row r="309">
          <cell r="B309">
            <v>45020.201000833331</v>
          </cell>
        </row>
        <row r="310">
          <cell r="B310">
            <v>45020.504587152776</v>
          </cell>
        </row>
        <row r="311">
          <cell r="B311">
            <v>45020.808173472222</v>
          </cell>
        </row>
        <row r="312">
          <cell r="B312">
            <v>45021.111759803243</v>
          </cell>
        </row>
        <row r="313">
          <cell r="B313">
            <v>45021.415346122689</v>
          </cell>
        </row>
        <row r="314">
          <cell r="B314">
            <v>45021.718932442127</v>
          </cell>
        </row>
        <row r="315">
          <cell r="B315">
            <v>45022.022518761572</v>
          </cell>
        </row>
        <row r="316">
          <cell r="B316">
            <v>45022.326105092594</v>
          </cell>
        </row>
        <row r="317">
          <cell r="B317">
            <v>45022.629691412039</v>
          </cell>
        </row>
        <row r="318">
          <cell r="B318">
            <v>45022.933277731485</v>
          </cell>
        </row>
        <row r="319">
          <cell r="B319">
            <v>45023.236864050923</v>
          </cell>
        </row>
        <row r="320">
          <cell r="B320">
            <v>45023.540450370368</v>
          </cell>
        </row>
        <row r="321">
          <cell r="B321">
            <v>45023.84403670139</v>
          </cell>
        </row>
        <row r="322">
          <cell r="B322">
            <v>45024.147623020835</v>
          </cell>
        </row>
        <row r="323">
          <cell r="B323">
            <v>45024.451209340281</v>
          </cell>
        </row>
        <row r="324">
          <cell r="B324">
            <v>45024.754795659719</v>
          </cell>
        </row>
        <row r="325">
          <cell r="B325">
            <v>45025.058381990741</v>
          </cell>
        </row>
        <row r="326">
          <cell r="B326">
            <v>45025.361968310186</v>
          </cell>
        </row>
        <row r="327">
          <cell r="B327">
            <v>45025.665554629632</v>
          </cell>
        </row>
        <row r="328">
          <cell r="B328">
            <v>45025.969140949077</v>
          </cell>
        </row>
        <row r="329">
          <cell r="B329">
            <v>45026.272727268515</v>
          </cell>
        </row>
        <row r="330">
          <cell r="B330">
            <v>45026.576313599537</v>
          </cell>
        </row>
        <row r="331">
          <cell r="B331">
            <v>45026.879899918982</v>
          </cell>
        </row>
        <row r="332">
          <cell r="B332">
            <v>45027.183486238428</v>
          </cell>
        </row>
        <row r="333">
          <cell r="B333">
            <v>45027.487072557873</v>
          </cell>
        </row>
        <row r="334">
          <cell r="B334">
            <v>45027.790658877311</v>
          </cell>
        </row>
        <row r="335">
          <cell r="B335">
            <v>45028.094245208333</v>
          </cell>
        </row>
        <row r="336">
          <cell r="B336">
            <v>45028.397831527778</v>
          </cell>
        </row>
        <row r="337">
          <cell r="B337">
            <v>45028.701417847224</v>
          </cell>
        </row>
        <row r="338">
          <cell r="B338">
            <v>45029.005004166669</v>
          </cell>
        </row>
        <row r="339">
          <cell r="B339">
            <v>45029.308590497683</v>
          </cell>
        </row>
        <row r="340">
          <cell r="B340">
            <v>45029.612176817129</v>
          </cell>
        </row>
        <row r="341">
          <cell r="B341">
            <v>45029.915763136574</v>
          </cell>
        </row>
        <row r="342">
          <cell r="B342">
            <v>45030.21934945602</v>
          </cell>
        </row>
        <row r="343">
          <cell r="B343">
            <v>45030.522935775465</v>
          </cell>
        </row>
        <row r="344">
          <cell r="B344">
            <v>45030.826522106479</v>
          </cell>
        </row>
        <row r="345">
          <cell r="B345">
            <v>45031.130108425925</v>
          </cell>
        </row>
        <row r="346">
          <cell r="B346">
            <v>45031.43369474537</v>
          </cell>
        </row>
        <row r="347">
          <cell r="B347">
            <v>45031.737281064816</v>
          </cell>
        </row>
        <row r="348">
          <cell r="B348">
            <v>45032.040867384261</v>
          </cell>
        </row>
        <row r="349">
          <cell r="B349">
            <v>45032.344453715275</v>
          </cell>
        </row>
        <row r="350">
          <cell r="B350">
            <v>45032.648040034721</v>
          </cell>
        </row>
        <row r="351">
          <cell r="B351">
            <v>45032.951626354166</v>
          </cell>
        </row>
        <row r="352">
          <cell r="B352">
            <v>45033.255212673612</v>
          </cell>
        </row>
        <row r="353">
          <cell r="B353">
            <v>45033.558799004626</v>
          </cell>
        </row>
        <row r="354">
          <cell r="B354">
            <v>45033.862385324072</v>
          </cell>
        </row>
        <row r="355">
          <cell r="B355">
            <v>45034.165971643517</v>
          </cell>
        </row>
        <row r="356">
          <cell r="B356">
            <v>45034.469557962962</v>
          </cell>
        </row>
        <row r="357">
          <cell r="B357">
            <v>45034.773144282408</v>
          </cell>
        </row>
        <row r="358">
          <cell r="B358">
            <v>45035.076730613429</v>
          </cell>
        </row>
        <row r="359">
          <cell r="B359">
            <v>45035.380316932868</v>
          </cell>
        </row>
        <row r="360">
          <cell r="B360">
            <v>45035.683903252313</v>
          </cell>
        </row>
        <row r="361">
          <cell r="B361">
            <v>45035.987489571758</v>
          </cell>
        </row>
        <row r="362">
          <cell r="B362">
            <v>45036.291075891204</v>
          </cell>
        </row>
        <row r="363">
          <cell r="B363">
            <v>45036.594662222225</v>
          </cell>
        </row>
        <row r="364">
          <cell r="B364">
            <v>45036.898248541664</v>
          </cell>
        </row>
        <row r="365">
          <cell r="B365">
            <v>45037.201834861109</v>
          </cell>
        </row>
        <row r="366">
          <cell r="B366">
            <v>45037.505421180555</v>
          </cell>
        </row>
        <row r="367">
          <cell r="B367">
            <v>45037.809007511576</v>
          </cell>
        </row>
        <row r="368">
          <cell r="B368">
            <v>45038.112593831022</v>
          </cell>
        </row>
        <row r="369">
          <cell r="B369">
            <v>45038.41618015046</v>
          </cell>
        </row>
        <row r="370">
          <cell r="B370">
            <v>45038.719766469905</v>
          </cell>
        </row>
        <row r="371">
          <cell r="B371">
            <v>45039.023352789351</v>
          </cell>
        </row>
        <row r="372">
          <cell r="B372">
            <v>45039.326939120372</v>
          </cell>
        </row>
        <row r="373">
          <cell r="B373">
            <v>45039.630525439818</v>
          </cell>
        </row>
        <row r="374">
          <cell r="B374">
            <v>45039.934111759256</v>
          </cell>
        </row>
        <row r="375">
          <cell r="B375">
            <v>45040.237698078701</v>
          </cell>
        </row>
        <row r="376">
          <cell r="B376">
            <v>45040.541284398147</v>
          </cell>
        </row>
        <row r="377">
          <cell r="B377">
            <v>45040.844870729168</v>
          </cell>
        </row>
        <row r="378">
          <cell r="B378">
            <v>45041.148457048614</v>
          </cell>
        </row>
        <row r="379">
          <cell r="B379">
            <v>45041.452043368059</v>
          </cell>
        </row>
        <row r="380">
          <cell r="B380">
            <v>45041.755629687497</v>
          </cell>
        </row>
        <row r="381">
          <cell r="B381">
            <v>45042.059216018519</v>
          </cell>
        </row>
        <row r="382">
          <cell r="B382">
            <v>45042.362802337964</v>
          </cell>
        </row>
        <row r="383">
          <cell r="B383">
            <v>45042.66638865741</v>
          </cell>
        </row>
        <row r="384">
          <cell r="B384">
            <v>45042.969974976855</v>
          </cell>
        </row>
        <row r="385">
          <cell r="B385">
            <v>45043.273561296293</v>
          </cell>
        </row>
        <row r="386">
          <cell r="B386">
            <v>45043.577147627315</v>
          </cell>
        </row>
        <row r="387">
          <cell r="B387">
            <v>45043.88073394676</v>
          </cell>
        </row>
        <row r="388">
          <cell r="B388">
            <v>45044.184320266206</v>
          </cell>
        </row>
        <row r="389">
          <cell r="B389">
            <v>45044.487906585651</v>
          </cell>
        </row>
        <row r="390">
          <cell r="B390">
            <v>45044.791492905089</v>
          </cell>
        </row>
        <row r="391">
          <cell r="B391">
            <v>45045.095079236111</v>
          </cell>
        </row>
        <row r="392">
          <cell r="B392">
            <v>45045.398665555556</v>
          </cell>
        </row>
        <row r="393">
          <cell r="B393">
            <v>45045.702251875002</v>
          </cell>
        </row>
        <row r="394">
          <cell r="B394">
            <v>45046.005838194447</v>
          </cell>
        </row>
        <row r="395">
          <cell r="B395">
            <v>45046.309424525462</v>
          </cell>
        </row>
        <row r="396">
          <cell r="B396">
            <v>45046.613010844907</v>
          </cell>
        </row>
        <row r="397">
          <cell r="B397">
            <v>45046.916597164352</v>
          </cell>
        </row>
        <row r="398">
          <cell r="B398">
            <v>45047.220183483798</v>
          </cell>
        </row>
        <row r="399">
          <cell r="B399">
            <v>45047.523769803243</v>
          </cell>
        </row>
        <row r="400">
          <cell r="B400">
            <v>45047.827356134258</v>
          </cell>
        </row>
        <row r="401">
          <cell r="B401">
            <v>45048.130942453703</v>
          </cell>
        </row>
        <row r="402">
          <cell r="B402">
            <v>45048.434528773148</v>
          </cell>
        </row>
        <row r="403">
          <cell r="B403">
            <v>45048.738115092594</v>
          </cell>
        </row>
        <row r="404">
          <cell r="B404">
            <v>45049.041701423608</v>
          </cell>
        </row>
        <row r="405">
          <cell r="B405">
            <v>45049.345287743054</v>
          </cell>
        </row>
        <row r="406">
          <cell r="B406">
            <v>45049.648874062499</v>
          </cell>
        </row>
        <row r="407">
          <cell r="B407">
            <v>45049.952460381945</v>
          </cell>
        </row>
        <row r="408">
          <cell r="B408">
            <v>45050.25604670139</v>
          </cell>
        </row>
        <row r="409">
          <cell r="B409">
            <v>45050.559633032404</v>
          </cell>
        </row>
        <row r="410">
          <cell r="B410">
            <v>45050.86321935185</v>
          </cell>
        </row>
        <row r="411">
          <cell r="B411">
            <v>45051.166805671295</v>
          </cell>
        </row>
        <row r="412">
          <cell r="B412">
            <v>45051.470391990741</v>
          </cell>
        </row>
        <row r="413">
          <cell r="B413">
            <v>45051.773978310186</v>
          </cell>
        </row>
        <row r="414">
          <cell r="B414">
            <v>45052.0775646412</v>
          </cell>
        </row>
        <row r="415">
          <cell r="B415">
            <v>45052.381150960646</v>
          </cell>
        </row>
        <row r="416">
          <cell r="B416">
            <v>45052.684737280091</v>
          </cell>
        </row>
        <row r="417">
          <cell r="B417">
            <v>45052.988323599537</v>
          </cell>
        </row>
        <row r="418">
          <cell r="B418">
            <v>45053.291909930558</v>
          </cell>
        </row>
        <row r="419">
          <cell r="B419">
            <v>45053.595496250004</v>
          </cell>
        </row>
        <row r="420">
          <cell r="B420">
            <v>45053.899082569442</v>
          </cell>
        </row>
        <row r="421">
          <cell r="B421">
            <v>45054.202668888887</v>
          </cell>
        </row>
        <row r="422">
          <cell r="B422">
            <v>45054.506255208333</v>
          </cell>
        </row>
        <row r="423">
          <cell r="B423">
            <v>45054.809841539354</v>
          </cell>
        </row>
        <row r="424">
          <cell r="B424">
            <v>45055.1134278588</v>
          </cell>
        </row>
        <row r="425">
          <cell r="B425">
            <v>45055.417014178238</v>
          </cell>
        </row>
        <row r="426">
          <cell r="B426">
            <v>45055.720600497683</v>
          </cell>
        </row>
        <row r="427">
          <cell r="B427">
            <v>45056.024186817129</v>
          </cell>
        </row>
        <row r="428">
          <cell r="B428">
            <v>45056.32777314815</v>
          </cell>
        </row>
        <row r="429">
          <cell r="B429">
            <v>45056.631359467596</v>
          </cell>
        </row>
        <row r="430">
          <cell r="B430">
            <v>45056.934945787034</v>
          </cell>
        </row>
        <row r="431">
          <cell r="B431">
            <v>45057.238532106479</v>
          </cell>
        </row>
        <row r="432">
          <cell r="B432">
            <v>45057.542118437501</v>
          </cell>
        </row>
        <row r="433">
          <cell r="B433">
            <v>45057.845704756946</v>
          </cell>
        </row>
        <row r="434">
          <cell r="B434">
            <v>45058.149291076392</v>
          </cell>
        </row>
        <row r="435">
          <cell r="B435">
            <v>45058.45287739583</v>
          </cell>
        </row>
        <row r="436">
          <cell r="B436">
            <v>45058.756463715275</v>
          </cell>
        </row>
        <row r="437">
          <cell r="B437">
            <v>45059.060050046297</v>
          </cell>
        </row>
        <row r="438">
          <cell r="B438">
            <v>45059.363636365742</v>
          </cell>
        </row>
        <row r="439">
          <cell r="B439">
            <v>45059.667222685188</v>
          </cell>
        </row>
        <row r="440">
          <cell r="B440">
            <v>45059.970809004626</v>
          </cell>
        </row>
        <row r="441">
          <cell r="B441">
            <v>45060.274395324072</v>
          </cell>
        </row>
        <row r="442">
          <cell r="B442">
            <v>45060.577981655093</v>
          </cell>
        </row>
        <row r="443">
          <cell r="B443">
            <v>45060.881567974538</v>
          </cell>
        </row>
        <row r="444">
          <cell r="B444">
            <v>45061.185154293984</v>
          </cell>
        </row>
        <row r="445">
          <cell r="B445">
            <v>45061.488740613429</v>
          </cell>
        </row>
        <row r="446">
          <cell r="B446">
            <v>45061.792326944444</v>
          </cell>
        </row>
        <row r="447">
          <cell r="B447">
            <v>45062.095913263889</v>
          </cell>
        </row>
        <row r="448">
          <cell r="B448">
            <v>45062.399499583335</v>
          </cell>
        </row>
        <row r="449">
          <cell r="B449">
            <v>45062.70308590278</v>
          </cell>
        </row>
        <row r="450">
          <cell r="B450">
            <v>45063.006672222225</v>
          </cell>
        </row>
        <row r="451">
          <cell r="B451">
            <v>45063.31025855324</v>
          </cell>
        </row>
        <row r="452">
          <cell r="B452">
            <v>45063.613844872685</v>
          </cell>
        </row>
        <row r="453">
          <cell r="B453">
            <v>45063.917431192131</v>
          </cell>
        </row>
        <row r="454">
          <cell r="B454">
            <v>45064.221017511576</v>
          </cell>
        </row>
        <row r="455">
          <cell r="B455">
            <v>45064.524603831022</v>
          </cell>
        </row>
        <row r="456">
          <cell r="B456">
            <v>45064.828190162036</v>
          </cell>
        </row>
        <row r="457">
          <cell r="B457">
            <v>45065.131776481481</v>
          </cell>
        </row>
        <row r="458">
          <cell r="B458">
            <v>45065.435362800927</v>
          </cell>
        </row>
        <row r="459">
          <cell r="B459">
            <v>45065.738949120372</v>
          </cell>
        </row>
        <row r="460">
          <cell r="B460">
            <v>45066.042535451386</v>
          </cell>
        </row>
        <row r="461">
          <cell r="B461">
            <v>45066.346121770832</v>
          </cell>
        </row>
        <row r="462">
          <cell r="B462">
            <v>45066.649708090277</v>
          </cell>
        </row>
        <row r="463">
          <cell r="B463">
            <v>45066.953294409723</v>
          </cell>
        </row>
        <row r="464">
          <cell r="B464">
            <v>45067.256880729168</v>
          </cell>
        </row>
        <row r="465">
          <cell r="B465">
            <v>45067.560467060182</v>
          </cell>
        </row>
        <row r="466">
          <cell r="B466">
            <v>45067.864053379628</v>
          </cell>
        </row>
        <row r="467">
          <cell r="B467">
            <v>45068.167639699073</v>
          </cell>
        </row>
        <row r="468">
          <cell r="B468">
            <v>45068.471226018519</v>
          </cell>
        </row>
        <row r="469">
          <cell r="B469">
            <v>45068.774812337964</v>
          </cell>
        </row>
        <row r="470">
          <cell r="B470">
            <v>45069.078398668978</v>
          </cell>
        </row>
        <row r="471">
          <cell r="B471">
            <v>45069.381984988424</v>
          </cell>
        </row>
        <row r="472">
          <cell r="B472">
            <v>45069.685571307869</v>
          </cell>
        </row>
        <row r="473">
          <cell r="B473">
            <v>45069.989157627315</v>
          </cell>
        </row>
        <row r="474">
          <cell r="B474">
            <v>45070.292743958336</v>
          </cell>
        </row>
        <row r="475">
          <cell r="B475">
            <v>45070.596330277775</v>
          </cell>
        </row>
        <row r="476">
          <cell r="B476">
            <v>45070.89991659722</v>
          </cell>
        </row>
        <row r="477">
          <cell r="B477">
            <v>45071.203502916665</v>
          </cell>
        </row>
        <row r="478">
          <cell r="B478">
            <v>45071.507089236111</v>
          </cell>
        </row>
        <row r="479">
          <cell r="B479">
            <v>45071.810675567132</v>
          </cell>
        </row>
        <row r="480">
          <cell r="B480">
            <v>45072.114261886571</v>
          </cell>
        </row>
        <row r="481">
          <cell r="B481">
            <v>45072.417848206016</v>
          </cell>
        </row>
        <row r="482">
          <cell r="B482">
            <v>45072.721434525462</v>
          </cell>
        </row>
        <row r="483">
          <cell r="B483">
            <v>45073.025020856483</v>
          </cell>
        </row>
        <row r="484">
          <cell r="B484">
            <v>45073.328607175928</v>
          </cell>
        </row>
        <row r="485">
          <cell r="B485">
            <v>45073.632193495374</v>
          </cell>
        </row>
        <row r="486">
          <cell r="B486">
            <v>45073.935779814812</v>
          </cell>
        </row>
        <row r="487">
          <cell r="B487">
            <v>45074.239366134258</v>
          </cell>
        </row>
        <row r="488">
          <cell r="B488">
            <v>45074.542952465279</v>
          </cell>
        </row>
        <row r="489">
          <cell r="B489">
            <v>45074.846538784725</v>
          </cell>
        </row>
        <row r="490">
          <cell r="B490">
            <v>45075.15012510417</v>
          </cell>
        </row>
        <row r="491">
          <cell r="B491">
            <v>45075.453711423608</v>
          </cell>
        </row>
        <row r="492">
          <cell r="B492">
            <v>45075.757297743054</v>
          </cell>
        </row>
        <row r="493">
          <cell r="B493">
            <v>45076.060884074075</v>
          </cell>
        </row>
        <row r="494">
          <cell r="B494">
            <v>45076.364470393521</v>
          </cell>
        </row>
        <row r="495">
          <cell r="B495">
            <v>45076.668056712966</v>
          </cell>
        </row>
        <row r="496">
          <cell r="B496">
            <v>45076.971643032404</v>
          </cell>
        </row>
        <row r="497">
          <cell r="B497">
            <v>45077.275229363426</v>
          </cell>
        </row>
        <row r="498">
          <cell r="B498">
            <v>45077.578815682871</v>
          </cell>
        </row>
        <row r="499">
          <cell r="B499">
            <v>45077.882402002317</v>
          </cell>
        </row>
        <row r="500">
          <cell r="B500">
            <v>45078.185988321762</v>
          </cell>
        </row>
        <row r="501">
          <cell r="B501">
            <v>45078.4895746412</v>
          </cell>
        </row>
        <row r="502">
          <cell r="B502">
            <v>45078.793160972222</v>
          </cell>
        </row>
        <row r="503">
          <cell r="B503">
            <v>45079.096747291667</v>
          </cell>
        </row>
        <row r="504">
          <cell r="B504">
            <v>45079.400333611113</v>
          </cell>
        </row>
        <row r="505">
          <cell r="B505">
            <v>45079.703919930558</v>
          </cell>
        </row>
        <row r="506">
          <cell r="B506">
            <v>45080.007506249996</v>
          </cell>
        </row>
        <row r="507">
          <cell r="B507">
            <v>45080.311092581018</v>
          </cell>
        </row>
        <row r="508">
          <cell r="B508">
            <v>45080.614678900463</v>
          </cell>
        </row>
        <row r="509">
          <cell r="B509">
            <v>45080.918265219909</v>
          </cell>
        </row>
        <row r="510">
          <cell r="B510">
            <v>45081.221851539354</v>
          </cell>
        </row>
        <row r="511">
          <cell r="B511">
            <v>45081.525437870368</v>
          </cell>
        </row>
        <row r="512">
          <cell r="B512">
            <v>45081.829024189814</v>
          </cell>
        </row>
        <row r="513">
          <cell r="B513">
            <v>45082.132610509259</v>
          </cell>
        </row>
        <row r="514">
          <cell r="B514">
            <v>45082.436196828705</v>
          </cell>
        </row>
        <row r="515">
          <cell r="B515">
            <v>45082.73978314815</v>
          </cell>
        </row>
        <row r="516">
          <cell r="B516">
            <v>45083.043369479165</v>
          </cell>
        </row>
        <row r="517">
          <cell r="B517">
            <v>45083.34695579861</v>
          </cell>
        </row>
        <row r="518">
          <cell r="B518">
            <v>45083.650542118055</v>
          </cell>
        </row>
        <row r="519">
          <cell r="B519">
            <v>45083.954128437501</v>
          </cell>
        </row>
        <row r="520">
          <cell r="B520">
            <v>45084.257714756946</v>
          </cell>
        </row>
        <row r="521">
          <cell r="B521">
            <v>45084.561301087961</v>
          </cell>
        </row>
        <row r="522">
          <cell r="B522">
            <v>45084.864887407406</v>
          </cell>
        </row>
        <row r="523">
          <cell r="B523">
            <v>45085.168473726852</v>
          </cell>
        </row>
        <row r="524">
          <cell r="B524">
            <v>45085.472060046297</v>
          </cell>
        </row>
        <row r="525">
          <cell r="B525">
            <v>45085.775646377311</v>
          </cell>
        </row>
        <row r="526">
          <cell r="B526">
            <v>45086.079232696757</v>
          </cell>
        </row>
        <row r="527">
          <cell r="B527">
            <v>45086.382819016202</v>
          </cell>
        </row>
        <row r="528">
          <cell r="B528">
            <v>45086.686405335648</v>
          </cell>
        </row>
        <row r="529">
          <cell r="B529">
            <v>45086.989991655093</v>
          </cell>
        </row>
        <row r="530">
          <cell r="B530">
            <v>45087.293577986115</v>
          </cell>
        </row>
        <row r="531">
          <cell r="B531">
            <v>45087.597164305553</v>
          </cell>
        </row>
        <row r="532">
          <cell r="B532">
            <v>45087.900750624998</v>
          </cell>
        </row>
        <row r="533">
          <cell r="B533">
            <v>45088.204336944444</v>
          </cell>
        </row>
        <row r="534">
          <cell r="B534">
            <v>45088.507923263889</v>
          </cell>
        </row>
        <row r="535">
          <cell r="B535">
            <v>45088.811509594911</v>
          </cell>
        </row>
        <row r="536">
          <cell r="B536">
            <v>45089.115095914349</v>
          </cell>
        </row>
        <row r="537">
          <cell r="B537">
            <v>45089.418682233794</v>
          </cell>
        </row>
        <row r="538">
          <cell r="B538">
            <v>45089.72226855324</v>
          </cell>
        </row>
        <row r="539">
          <cell r="B539">
            <v>45090.025854884261</v>
          </cell>
        </row>
        <row r="540">
          <cell r="B540">
            <v>45090.329441203707</v>
          </cell>
        </row>
        <row r="541">
          <cell r="B541">
            <v>45090.633027523145</v>
          </cell>
        </row>
        <row r="542">
          <cell r="B542">
            <v>45090.93661384259</v>
          </cell>
        </row>
        <row r="543">
          <cell r="B543">
            <v>45091.240200162036</v>
          </cell>
        </row>
        <row r="544">
          <cell r="B544">
            <v>45091.543786493057</v>
          </cell>
        </row>
        <row r="545">
          <cell r="B545">
            <v>45091.847372812503</v>
          </cell>
        </row>
        <row r="546">
          <cell r="B546">
            <v>45092.150959131941</v>
          </cell>
        </row>
        <row r="547">
          <cell r="B547">
            <v>45092.454545451386</v>
          </cell>
        </row>
        <row r="548">
          <cell r="B548">
            <v>45092.758131770832</v>
          </cell>
        </row>
        <row r="549">
          <cell r="B549">
            <v>45093.061718101853</v>
          </cell>
        </row>
        <row r="550">
          <cell r="B550">
            <v>45093.365304421299</v>
          </cell>
        </row>
        <row r="551">
          <cell r="B551">
            <v>45093.668890740744</v>
          </cell>
        </row>
        <row r="552">
          <cell r="B552">
            <v>45093.972477060182</v>
          </cell>
        </row>
        <row r="553">
          <cell r="B553">
            <v>45094.276063391204</v>
          </cell>
        </row>
        <row r="554">
          <cell r="B554">
            <v>45094.579649710649</v>
          </cell>
        </row>
        <row r="555">
          <cell r="B555">
            <v>45094.883236030095</v>
          </cell>
        </row>
        <row r="556">
          <cell r="B556">
            <v>45095.18682234954</v>
          </cell>
        </row>
        <row r="557">
          <cell r="B557">
            <v>45095.490408668978</v>
          </cell>
        </row>
        <row r="558">
          <cell r="B558">
            <v>45095.793995</v>
          </cell>
        </row>
        <row r="559">
          <cell r="B559">
            <v>45096.097581319445</v>
          </cell>
        </row>
        <row r="560">
          <cell r="B560">
            <v>45096.401167638891</v>
          </cell>
        </row>
        <row r="561">
          <cell r="B561">
            <v>45096.704753958336</v>
          </cell>
        </row>
        <row r="562">
          <cell r="B562">
            <v>45097.008340289351</v>
          </cell>
        </row>
        <row r="563">
          <cell r="B563">
            <v>45097.311926608796</v>
          </cell>
        </row>
        <row r="564">
          <cell r="B564">
            <v>45097.615512928242</v>
          </cell>
        </row>
        <row r="565">
          <cell r="B565">
            <v>45097.919099247687</v>
          </cell>
        </row>
        <row r="566">
          <cell r="B566">
            <v>45098.222685567132</v>
          </cell>
        </row>
        <row r="567">
          <cell r="B567">
            <v>45098.526271898147</v>
          </cell>
        </row>
        <row r="568">
          <cell r="B568">
            <v>45098.829858217592</v>
          </cell>
        </row>
        <row r="569">
          <cell r="B569">
            <v>45099.133444537038</v>
          </cell>
        </row>
        <row r="570">
          <cell r="B570">
            <v>45099.437030856483</v>
          </cell>
        </row>
        <row r="571">
          <cell r="B571">
            <v>45099.740617175928</v>
          </cell>
        </row>
        <row r="572">
          <cell r="B572">
            <v>45100.044203506943</v>
          </cell>
        </row>
        <row r="573">
          <cell r="B573">
            <v>45100.347789826388</v>
          </cell>
        </row>
        <row r="574">
          <cell r="B574">
            <v>45100.651376145834</v>
          </cell>
        </row>
        <row r="575">
          <cell r="B575">
            <v>45100.954962465279</v>
          </cell>
        </row>
        <row r="576">
          <cell r="B576">
            <v>45101.258548796293</v>
          </cell>
        </row>
        <row r="577">
          <cell r="B577">
            <v>45101.562135115739</v>
          </cell>
        </row>
        <row r="578">
          <cell r="B578">
            <v>45101.865721435184</v>
          </cell>
        </row>
        <row r="579">
          <cell r="B579">
            <v>45102.16930775463</v>
          </cell>
        </row>
        <row r="580">
          <cell r="B580">
            <v>45102.472894074075</v>
          </cell>
        </row>
        <row r="581">
          <cell r="B581">
            <v>45102.776480405089</v>
          </cell>
        </row>
        <row r="582">
          <cell r="B582">
            <v>45103.080066724535</v>
          </cell>
        </row>
        <row r="583">
          <cell r="B583">
            <v>45103.38365304398</v>
          </cell>
        </row>
        <row r="584">
          <cell r="B584">
            <v>45103.687239363426</v>
          </cell>
        </row>
        <row r="585">
          <cell r="B585">
            <v>45103.990825682871</v>
          </cell>
        </row>
        <row r="586">
          <cell r="B586">
            <v>45104.294412013885</v>
          </cell>
        </row>
        <row r="587">
          <cell r="B587">
            <v>45104.597998333331</v>
          </cell>
        </row>
        <row r="588">
          <cell r="B588">
            <v>45104.901584652776</v>
          </cell>
        </row>
        <row r="589">
          <cell r="B589">
            <v>45105.205170972222</v>
          </cell>
        </row>
        <row r="590">
          <cell r="B590">
            <v>45105.508757303243</v>
          </cell>
        </row>
        <row r="591">
          <cell r="B591">
            <v>45105.812343622689</v>
          </cell>
        </row>
        <row r="592">
          <cell r="B592">
            <v>45106.115929942127</v>
          </cell>
        </row>
        <row r="593">
          <cell r="B593">
            <v>45106.419516261572</v>
          </cell>
        </row>
        <row r="594">
          <cell r="B594">
            <v>45106.723102581018</v>
          </cell>
        </row>
        <row r="595">
          <cell r="B595">
            <v>45107.026688912039</v>
          </cell>
        </row>
        <row r="596">
          <cell r="B596">
            <v>45107.330275231485</v>
          </cell>
        </row>
        <row r="597">
          <cell r="B597">
            <v>45107.633861550923</v>
          </cell>
        </row>
        <row r="598">
          <cell r="B598">
            <v>45107.937447870368</v>
          </cell>
        </row>
        <row r="599">
          <cell r="B599">
            <v>45108.241034189814</v>
          </cell>
        </row>
        <row r="600">
          <cell r="B600">
            <v>45108.544620520835</v>
          </cell>
        </row>
        <row r="601">
          <cell r="B601">
            <v>45108.848206840281</v>
          </cell>
        </row>
        <row r="602">
          <cell r="B602">
            <v>45109.151793159719</v>
          </cell>
        </row>
        <row r="603">
          <cell r="B603">
            <v>45109.455379479165</v>
          </cell>
        </row>
        <row r="604">
          <cell r="B604">
            <v>45109.758965810186</v>
          </cell>
        </row>
        <row r="605">
          <cell r="B605">
            <v>45110.062552129632</v>
          </cell>
        </row>
        <row r="606">
          <cell r="B606">
            <v>45110.366138449077</v>
          </cell>
        </row>
        <row r="607">
          <cell r="B607">
            <v>45110.669724768515</v>
          </cell>
        </row>
        <row r="608">
          <cell r="B608">
            <v>45110.973311087961</v>
          </cell>
        </row>
        <row r="609">
          <cell r="B609">
            <v>45111.276897418982</v>
          </cell>
        </row>
        <row r="610">
          <cell r="B610">
            <v>45111.580483738428</v>
          </cell>
        </row>
        <row r="611">
          <cell r="B611">
            <v>45111.884070057873</v>
          </cell>
        </row>
        <row r="612">
          <cell r="B612">
            <v>45112.187656377311</v>
          </cell>
        </row>
        <row r="613">
          <cell r="B613">
            <v>45112.491242696757</v>
          </cell>
        </row>
        <row r="614">
          <cell r="B614">
            <v>45112.794829027778</v>
          </cell>
        </row>
        <row r="615">
          <cell r="B615">
            <v>45113.098415347224</v>
          </cell>
        </row>
        <row r="616">
          <cell r="B616">
            <v>45113.402001666669</v>
          </cell>
        </row>
        <row r="617">
          <cell r="B617">
            <v>45113.705587986115</v>
          </cell>
        </row>
        <row r="618">
          <cell r="B618">
            <v>45114.009174317129</v>
          </cell>
        </row>
        <row r="619">
          <cell r="B619">
            <v>45114.312760636574</v>
          </cell>
        </row>
        <row r="620">
          <cell r="B620">
            <v>45114.61634695602</v>
          </cell>
        </row>
        <row r="621">
          <cell r="B621">
            <v>45114.919933275465</v>
          </cell>
        </row>
        <row r="622">
          <cell r="B622">
            <v>45115.223519594911</v>
          </cell>
        </row>
        <row r="623">
          <cell r="B623">
            <v>45115.527105925925</v>
          </cell>
        </row>
        <row r="624">
          <cell r="B624">
            <v>45115.83069224537</v>
          </cell>
        </row>
        <row r="625">
          <cell r="B625">
            <v>45116.134278564816</v>
          </cell>
        </row>
        <row r="626">
          <cell r="B626">
            <v>45116.437864884261</v>
          </cell>
        </row>
        <row r="627">
          <cell r="B627">
            <v>45116.741451203707</v>
          </cell>
        </row>
        <row r="628">
          <cell r="B628">
            <v>45117.045037534721</v>
          </cell>
        </row>
        <row r="629">
          <cell r="B629">
            <v>45117.348623854166</v>
          </cell>
        </row>
        <row r="630">
          <cell r="B630">
            <v>45117.652210173612</v>
          </cell>
        </row>
        <row r="631">
          <cell r="B631">
            <v>45117.955796493057</v>
          </cell>
        </row>
        <row r="632">
          <cell r="B632">
            <v>45118.259382824072</v>
          </cell>
        </row>
        <row r="633">
          <cell r="B633">
            <v>45118.562969143517</v>
          </cell>
        </row>
        <row r="634">
          <cell r="B634">
            <v>45118.866555462962</v>
          </cell>
        </row>
        <row r="635">
          <cell r="B635">
            <v>45119.170141782408</v>
          </cell>
        </row>
        <row r="636">
          <cell r="B636">
            <v>45119.473728101853</v>
          </cell>
        </row>
        <row r="637">
          <cell r="B637">
            <v>45119.777314432868</v>
          </cell>
        </row>
        <row r="638">
          <cell r="B638">
            <v>45120.080900752313</v>
          </cell>
        </row>
        <row r="639">
          <cell r="B639">
            <v>45120.384487071758</v>
          </cell>
        </row>
        <row r="640">
          <cell r="B640">
            <v>45120.688073391204</v>
          </cell>
        </row>
        <row r="641">
          <cell r="B641">
            <v>45120.991659710649</v>
          </cell>
        </row>
        <row r="642">
          <cell r="B642">
            <v>45121.295246041664</v>
          </cell>
        </row>
        <row r="643">
          <cell r="B643">
            <v>45121.598832361109</v>
          </cell>
        </row>
        <row r="644">
          <cell r="B644">
            <v>45121.902418680555</v>
          </cell>
        </row>
        <row r="645">
          <cell r="B645">
            <v>45122.206005</v>
          </cell>
        </row>
        <row r="646">
          <cell r="B646">
            <v>45122.509591331022</v>
          </cell>
        </row>
        <row r="647">
          <cell r="B647">
            <v>45122.81317765046</v>
          </cell>
        </row>
        <row r="648">
          <cell r="B648">
            <v>45123.116763969905</v>
          </cell>
        </row>
        <row r="649">
          <cell r="B649">
            <v>45123.420350289351</v>
          </cell>
        </row>
        <row r="650">
          <cell r="B650">
            <v>45123.723936608796</v>
          </cell>
        </row>
        <row r="651">
          <cell r="B651">
            <v>45124.027522939818</v>
          </cell>
        </row>
        <row r="652">
          <cell r="B652">
            <v>45124.331109259256</v>
          </cell>
        </row>
        <row r="653">
          <cell r="B653">
            <v>45124.634695578701</v>
          </cell>
        </row>
        <row r="654">
          <cell r="B654">
            <v>45124.938281898147</v>
          </cell>
        </row>
        <row r="655">
          <cell r="B655">
            <v>45125.241868229168</v>
          </cell>
        </row>
        <row r="656">
          <cell r="B656">
            <v>45125.545454548614</v>
          </cell>
        </row>
        <row r="657">
          <cell r="B657">
            <v>45125.849040868059</v>
          </cell>
        </row>
        <row r="658">
          <cell r="B658">
            <v>45126.152627187497</v>
          </cell>
        </row>
        <row r="659">
          <cell r="B659">
            <v>45126.456213506943</v>
          </cell>
        </row>
        <row r="660">
          <cell r="B660">
            <v>45126.759799837964</v>
          </cell>
        </row>
        <row r="661">
          <cell r="B661">
            <v>45127.06338615741</v>
          </cell>
        </row>
        <row r="662">
          <cell r="B662">
            <v>45127.366972476855</v>
          </cell>
        </row>
        <row r="663">
          <cell r="B663">
            <v>45127.670558796293</v>
          </cell>
        </row>
        <row r="664">
          <cell r="B664">
            <v>45127.974145115739</v>
          </cell>
        </row>
        <row r="665">
          <cell r="B665">
            <v>45128.27773144676</v>
          </cell>
        </row>
        <row r="666">
          <cell r="B666">
            <v>45128.581317766206</v>
          </cell>
        </row>
        <row r="667">
          <cell r="B667">
            <v>45128.884904085651</v>
          </cell>
        </row>
        <row r="668">
          <cell r="B668">
            <v>45129.188490405089</v>
          </cell>
        </row>
        <row r="669">
          <cell r="B669">
            <v>45129.492076736111</v>
          </cell>
        </row>
        <row r="670">
          <cell r="B670">
            <v>45129.795663055556</v>
          </cell>
        </row>
        <row r="671">
          <cell r="B671">
            <v>45130.099249375002</v>
          </cell>
        </row>
        <row r="672">
          <cell r="B672">
            <v>45130.402835694447</v>
          </cell>
        </row>
        <row r="673">
          <cell r="B673">
            <v>45130.706422013885</v>
          </cell>
        </row>
        <row r="674">
          <cell r="B674">
            <v>45131.010008344907</v>
          </cell>
        </row>
        <row r="675">
          <cell r="B675">
            <v>45131.313594664352</v>
          </cell>
        </row>
        <row r="676">
          <cell r="B676">
            <v>45131.617180983798</v>
          </cell>
        </row>
        <row r="677">
          <cell r="B677">
            <v>45131.920767303243</v>
          </cell>
        </row>
        <row r="678">
          <cell r="B678">
            <v>45132.224353622689</v>
          </cell>
        </row>
        <row r="679">
          <cell r="B679">
            <v>45132.527939953703</v>
          </cell>
        </row>
        <row r="680">
          <cell r="B680">
            <v>45132.831526273148</v>
          </cell>
        </row>
        <row r="681">
          <cell r="B681">
            <v>45133.135112592594</v>
          </cell>
        </row>
        <row r="682">
          <cell r="B682">
            <v>45133.438698912039</v>
          </cell>
        </row>
        <row r="683">
          <cell r="B683">
            <v>45133.742285243054</v>
          </cell>
        </row>
        <row r="684">
          <cell r="B684">
            <v>45134.045871562499</v>
          </cell>
        </row>
        <row r="685">
          <cell r="B685">
            <v>45134.349457881945</v>
          </cell>
        </row>
        <row r="686">
          <cell r="B686">
            <v>45134.65304420139</v>
          </cell>
        </row>
        <row r="687">
          <cell r="B687">
            <v>45134.956630520835</v>
          </cell>
        </row>
        <row r="688">
          <cell r="B688">
            <v>45135.26021685185</v>
          </cell>
        </row>
        <row r="689">
          <cell r="B689">
            <v>45135.563803171295</v>
          </cell>
        </row>
        <row r="690">
          <cell r="B690">
            <v>45135.867389490741</v>
          </cell>
        </row>
        <row r="691">
          <cell r="B691">
            <v>45136.170975810186</v>
          </cell>
        </row>
        <row r="692">
          <cell r="B692">
            <v>45136.474562129632</v>
          </cell>
        </row>
        <row r="693">
          <cell r="B693">
            <v>45136.778148460646</v>
          </cell>
        </row>
        <row r="694">
          <cell r="B694">
            <v>45137.081734780091</v>
          </cell>
        </row>
        <row r="695">
          <cell r="B695">
            <v>45137.385321099537</v>
          </cell>
        </row>
        <row r="696">
          <cell r="B696">
            <v>45137.688907418982</v>
          </cell>
        </row>
        <row r="697">
          <cell r="B697">
            <v>45137.992493750004</v>
          </cell>
        </row>
        <row r="698">
          <cell r="B698">
            <v>45138.296080069442</v>
          </cell>
        </row>
        <row r="699">
          <cell r="B699">
            <v>45138.599666388887</v>
          </cell>
        </row>
        <row r="700">
          <cell r="B700">
            <v>45138.903252708333</v>
          </cell>
        </row>
        <row r="701">
          <cell r="B701">
            <v>45139.206839027778</v>
          </cell>
        </row>
        <row r="702">
          <cell r="B702">
            <v>45139.5104253588</v>
          </cell>
        </row>
        <row r="703">
          <cell r="B703">
            <v>45139.814011678238</v>
          </cell>
        </row>
        <row r="704">
          <cell r="B704">
            <v>45140.117597997683</v>
          </cell>
        </row>
        <row r="705">
          <cell r="B705">
            <v>45140.421184317129</v>
          </cell>
        </row>
        <row r="706">
          <cell r="B706">
            <v>45140.724770636574</v>
          </cell>
        </row>
        <row r="707">
          <cell r="B707">
            <v>45141.028356967596</v>
          </cell>
        </row>
        <row r="708">
          <cell r="B708">
            <v>45141.331943287034</v>
          </cell>
        </row>
        <row r="709">
          <cell r="B709">
            <v>45141.635529606479</v>
          </cell>
        </row>
        <row r="710">
          <cell r="B710">
            <v>45141.939115925925</v>
          </cell>
        </row>
        <row r="711">
          <cell r="B711">
            <v>45142.242702256946</v>
          </cell>
        </row>
        <row r="712">
          <cell r="B712">
            <v>45142.546288576392</v>
          </cell>
        </row>
        <row r="713">
          <cell r="B713">
            <v>45142.84987489583</v>
          </cell>
        </row>
        <row r="714">
          <cell r="B714">
            <v>45143.153461215275</v>
          </cell>
        </row>
        <row r="715">
          <cell r="B715">
            <v>45143.457047534721</v>
          </cell>
        </row>
        <row r="716">
          <cell r="B716">
            <v>45143.760633865742</v>
          </cell>
        </row>
        <row r="717">
          <cell r="B717">
            <v>45144.064220185188</v>
          </cell>
        </row>
        <row r="718">
          <cell r="B718">
            <v>45144.367806504626</v>
          </cell>
        </row>
        <row r="719">
          <cell r="B719">
            <v>45144.671392824072</v>
          </cell>
        </row>
        <row r="720">
          <cell r="B720">
            <v>45144.974979143517</v>
          </cell>
        </row>
        <row r="721">
          <cell r="B721">
            <v>45145.278565474538</v>
          </cell>
        </row>
        <row r="722">
          <cell r="B722">
            <v>45145.582151793984</v>
          </cell>
        </row>
        <row r="723">
          <cell r="B723">
            <v>45145.885738113429</v>
          </cell>
        </row>
        <row r="724">
          <cell r="B724">
            <v>45146.189324432868</v>
          </cell>
        </row>
        <row r="725">
          <cell r="B725">
            <v>45146.492910763889</v>
          </cell>
        </row>
        <row r="726">
          <cell r="B726">
            <v>45146.796497083335</v>
          </cell>
        </row>
        <row r="727">
          <cell r="B727">
            <v>45147.10008340278</v>
          </cell>
        </row>
        <row r="728">
          <cell r="B728">
            <v>45147.403669722225</v>
          </cell>
        </row>
        <row r="729">
          <cell r="B729">
            <v>45147.707256041664</v>
          </cell>
        </row>
        <row r="730">
          <cell r="B730">
            <v>45148.010842372685</v>
          </cell>
        </row>
        <row r="731">
          <cell r="B731">
            <v>45148.314428692131</v>
          </cell>
        </row>
        <row r="732">
          <cell r="B732">
            <v>45148.618015011576</v>
          </cell>
        </row>
        <row r="733">
          <cell r="B733">
            <v>45148.921601331022</v>
          </cell>
        </row>
        <row r="734">
          <cell r="B734">
            <v>45149.225187662036</v>
          </cell>
        </row>
        <row r="735">
          <cell r="B735">
            <v>45149.528773981481</v>
          </cell>
        </row>
        <row r="736">
          <cell r="B736">
            <v>45149.832360300927</v>
          </cell>
        </row>
        <row r="737">
          <cell r="B737">
            <v>45150.135946620372</v>
          </cell>
        </row>
        <row r="738">
          <cell r="B738">
            <v>45150.439532939818</v>
          </cell>
        </row>
        <row r="739">
          <cell r="B739">
            <v>45150.743119270832</v>
          </cell>
        </row>
        <row r="740">
          <cell r="B740">
            <v>45151.046705590277</v>
          </cell>
        </row>
        <row r="741">
          <cell r="B741">
            <v>45151.350291909723</v>
          </cell>
        </row>
        <row r="742">
          <cell r="B742">
            <v>45151.653878229168</v>
          </cell>
        </row>
        <row r="743">
          <cell r="B743">
            <v>45151.957464548614</v>
          </cell>
        </row>
        <row r="744">
          <cell r="B744">
            <v>45152.261050879628</v>
          </cell>
        </row>
        <row r="745">
          <cell r="B745">
            <v>45152.564637199073</v>
          </cell>
        </row>
        <row r="746">
          <cell r="B746">
            <v>45152.868223518519</v>
          </cell>
        </row>
        <row r="747">
          <cell r="B747">
            <v>45153.171809837964</v>
          </cell>
        </row>
        <row r="748">
          <cell r="B748">
            <v>45153.475396168978</v>
          </cell>
        </row>
        <row r="749">
          <cell r="B749">
            <v>45153.778982488424</v>
          </cell>
        </row>
        <row r="750">
          <cell r="B750">
            <v>45154.082568807869</v>
          </cell>
        </row>
        <row r="751">
          <cell r="B751">
            <v>45154.386155127315</v>
          </cell>
        </row>
        <row r="752">
          <cell r="B752">
            <v>45154.68974144676</v>
          </cell>
        </row>
        <row r="753">
          <cell r="B753">
            <v>45154.993327777775</v>
          </cell>
        </row>
        <row r="754">
          <cell r="B754">
            <v>45155.29691409722</v>
          </cell>
        </row>
        <row r="755">
          <cell r="B755">
            <v>45155.600500416665</v>
          </cell>
        </row>
        <row r="756">
          <cell r="B756">
            <v>45155.904086736111</v>
          </cell>
        </row>
        <row r="757">
          <cell r="B757">
            <v>45156.207673055556</v>
          </cell>
        </row>
        <row r="758">
          <cell r="B758">
            <v>45156.511259386571</v>
          </cell>
        </row>
        <row r="759">
          <cell r="B759">
            <v>45156.814845706016</v>
          </cell>
        </row>
        <row r="760">
          <cell r="B760">
            <v>45157.118432025462</v>
          </cell>
        </row>
        <row r="761">
          <cell r="B761">
            <v>45157.422018344907</v>
          </cell>
        </row>
        <row r="762">
          <cell r="B762">
            <v>45157.725604675928</v>
          </cell>
        </row>
        <row r="763">
          <cell r="B763">
            <v>45158.029190995374</v>
          </cell>
        </row>
        <row r="764">
          <cell r="B764">
            <v>45158.332777314812</v>
          </cell>
        </row>
        <row r="765">
          <cell r="B765">
            <v>45158.636363634258</v>
          </cell>
        </row>
        <row r="766">
          <cell r="B766">
            <v>45158.939949953703</v>
          </cell>
        </row>
        <row r="767">
          <cell r="B767">
            <v>45159.243536284725</v>
          </cell>
        </row>
        <row r="768">
          <cell r="B768">
            <v>45159.54712260417</v>
          </cell>
        </row>
        <row r="769">
          <cell r="B769">
            <v>45159.850708923608</v>
          </cell>
        </row>
        <row r="770">
          <cell r="B770">
            <v>45160.154295243054</v>
          </cell>
        </row>
        <row r="771">
          <cell r="B771">
            <v>45160.457881562499</v>
          </cell>
        </row>
        <row r="772">
          <cell r="B772">
            <v>45160.761467893521</v>
          </cell>
        </row>
        <row r="773">
          <cell r="B773">
            <v>45161.065054212966</v>
          </cell>
        </row>
        <row r="774">
          <cell r="B774">
            <v>45161.368640532404</v>
          </cell>
        </row>
        <row r="775">
          <cell r="B775">
            <v>45161.67222685185</v>
          </cell>
        </row>
        <row r="776">
          <cell r="B776">
            <v>45161.975813182871</v>
          </cell>
        </row>
        <row r="777">
          <cell r="B777">
            <v>45162.279399502317</v>
          </cell>
        </row>
        <row r="778">
          <cell r="B778">
            <v>45162.582985821762</v>
          </cell>
        </row>
        <row r="779">
          <cell r="B779">
            <v>45162.8865721412</v>
          </cell>
        </row>
        <row r="780">
          <cell r="B780">
            <v>45163.190158460646</v>
          </cell>
        </row>
        <row r="781">
          <cell r="B781">
            <v>45163.493744791667</v>
          </cell>
        </row>
        <row r="782">
          <cell r="B782">
            <v>45163.797331111113</v>
          </cell>
        </row>
        <row r="783">
          <cell r="B783">
            <v>45164.100917430558</v>
          </cell>
        </row>
        <row r="784">
          <cell r="B784">
            <v>45164.404503749996</v>
          </cell>
        </row>
        <row r="785">
          <cell r="B785">
            <v>45164.708090069442</v>
          </cell>
        </row>
        <row r="786">
          <cell r="B786">
            <v>45165.011676400463</v>
          </cell>
        </row>
        <row r="787">
          <cell r="B787">
            <v>45165.315262719909</v>
          </cell>
        </row>
        <row r="788">
          <cell r="B788">
            <v>45165.618849039354</v>
          </cell>
        </row>
        <row r="789">
          <cell r="B789">
            <v>45165.9224353588</v>
          </cell>
        </row>
        <row r="790">
          <cell r="B790">
            <v>45166.226021689814</v>
          </cell>
        </row>
        <row r="791">
          <cell r="B791">
            <v>45166.529608009259</v>
          </cell>
        </row>
        <row r="792">
          <cell r="B792">
            <v>45166.833194328705</v>
          </cell>
        </row>
        <row r="793">
          <cell r="B793">
            <v>45167.13678064815</v>
          </cell>
        </row>
        <row r="794">
          <cell r="B794">
            <v>45167.440366967596</v>
          </cell>
        </row>
        <row r="795">
          <cell r="B795">
            <v>45167.74395329861</v>
          </cell>
        </row>
        <row r="796">
          <cell r="B796">
            <v>45168.047539618055</v>
          </cell>
        </row>
        <row r="797">
          <cell r="B797">
            <v>45168.351125937501</v>
          </cell>
        </row>
        <row r="798">
          <cell r="B798">
            <v>45168.654712256946</v>
          </cell>
        </row>
        <row r="799">
          <cell r="B799">
            <v>45168.958298576392</v>
          </cell>
        </row>
        <row r="800">
          <cell r="B800">
            <v>45169.261884907406</v>
          </cell>
        </row>
        <row r="801">
          <cell r="B801">
            <v>45169.565471226852</v>
          </cell>
        </row>
        <row r="802">
          <cell r="B802">
            <v>45169.869057546297</v>
          </cell>
        </row>
        <row r="803">
          <cell r="B803">
            <v>45170.172643865742</v>
          </cell>
        </row>
        <row r="804">
          <cell r="B804">
            <v>45170.476230196757</v>
          </cell>
        </row>
        <row r="805">
          <cell r="B805">
            <v>45170.779816516202</v>
          </cell>
        </row>
        <row r="806">
          <cell r="B806">
            <v>45171.083402835648</v>
          </cell>
        </row>
        <row r="807">
          <cell r="B807">
            <v>45171.386989155093</v>
          </cell>
        </row>
        <row r="808">
          <cell r="B808">
            <v>45171.690575474538</v>
          </cell>
        </row>
        <row r="809">
          <cell r="B809">
            <v>45171.994161805553</v>
          </cell>
        </row>
        <row r="810">
          <cell r="B810">
            <v>45172.297748124998</v>
          </cell>
        </row>
        <row r="811">
          <cell r="B811">
            <v>45172.601334444444</v>
          </cell>
        </row>
        <row r="812">
          <cell r="B812">
            <v>45172.904920763889</v>
          </cell>
        </row>
        <row r="813">
          <cell r="B813">
            <v>45173.208507094911</v>
          </cell>
        </row>
        <row r="814">
          <cell r="B814">
            <v>45173.512093414349</v>
          </cell>
        </row>
        <row r="815">
          <cell r="B815">
            <v>45173.815679733794</v>
          </cell>
        </row>
        <row r="816">
          <cell r="B816">
            <v>45174.11926605324</v>
          </cell>
        </row>
        <row r="817">
          <cell r="B817">
            <v>45174.422852372685</v>
          </cell>
        </row>
        <row r="818">
          <cell r="B818">
            <v>45174.726438703707</v>
          </cell>
        </row>
        <row r="819">
          <cell r="B819">
            <v>45175.030025023145</v>
          </cell>
        </row>
        <row r="820">
          <cell r="B820">
            <v>45175.33361134259</v>
          </cell>
        </row>
        <row r="821">
          <cell r="B821">
            <v>45175.637197662036</v>
          </cell>
        </row>
        <row r="822">
          <cell r="B822">
            <v>45175.940783981481</v>
          </cell>
        </row>
        <row r="823">
          <cell r="B823">
            <v>45176.244370312503</v>
          </cell>
        </row>
        <row r="824">
          <cell r="B824">
            <v>45176.547956631941</v>
          </cell>
        </row>
        <row r="825">
          <cell r="B825">
            <v>45176.851542951386</v>
          </cell>
        </row>
        <row r="826">
          <cell r="B826">
            <v>45177.155129270832</v>
          </cell>
        </row>
        <row r="827">
          <cell r="B827">
            <v>45177.458715601853</v>
          </cell>
        </row>
        <row r="828">
          <cell r="B828">
            <v>45177.762301921299</v>
          </cell>
        </row>
        <row r="829">
          <cell r="B829">
            <v>45178.065888240744</v>
          </cell>
        </row>
        <row r="830">
          <cell r="B830">
            <v>45178.369474560182</v>
          </cell>
        </row>
        <row r="831">
          <cell r="B831">
            <v>45178.673060879628</v>
          </cell>
        </row>
        <row r="832">
          <cell r="B832">
            <v>45178.976647210649</v>
          </cell>
        </row>
        <row r="833">
          <cell r="B833">
            <v>45179.280233530095</v>
          </cell>
        </row>
        <row r="834">
          <cell r="B834">
            <v>45179.58381984954</v>
          </cell>
        </row>
        <row r="835">
          <cell r="B835">
            <v>45179.887406168978</v>
          </cell>
        </row>
        <row r="836">
          <cell r="B836">
            <v>45180.190992488424</v>
          </cell>
        </row>
        <row r="837">
          <cell r="B837">
            <v>45180.494578819445</v>
          </cell>
        </row>
        <row r="838">
          <cell r="B838">
            <v>45180.798165138891</v>
          </cell>
        </row>
        <row r="839">
          <cell r="B839">
            <v>45181.101751458336</v>
          </cell>
        </row>
        <row r="840">
          <cell r="B840">
            <v>45181.405337777775</v>
          </cell>
        </row>
        <row r="841">
          <cell r="B841">
            <v>45181.708924108796</v>
          </cell>
        </row>
        <row r="842">
          <cell r="B842">
            <v>45182.012510428242</v>
          </cell>
        </row>
        <row r="843">
          <cell r="B843">
            <v>45182.316096747687</v>
          </cell>
        </row>
        <row r="844">
          <cell r="B844">
            <v>45182.619683067132</v>
          </cell>
        </row>
        <row r="845">
          <cell r="B845">
            <v>45182.923269386571</v>
          </cell>
        </row>
        <row r="846">
          <cell r="B846">
            <v>45183.226855717592</v>
          </cell>
        </row>
        <row r="847">
          <cell r="B847">
            <v>45183.530442037038</v>
          </cell>
        </row>
        <row r="848">
          <cell r="B848">
            <v>45183.834028356483</v>
          </cell>
        </row>
        <row r="849">
          <cell r="B849">
            <v>45184.137614675928</v>
          </cell>
        </row>
        <row r="850">
          <cell r="B850">
            <v>45184.441200995374</v>
          </cell>
        </row>
        <row r="851">
          <cell r="B851">
            <v>45184.744787326388</v>
          </cell>
        </row>
        <row r="852">
          <cell r="B852">
            <v>45185.048373645834</v>
          </cell>
        </row>
        <row r="853">
          <cell r="B853">
            <v>45185.351959965279</v>
          </cell>
        </row>
        <row r="854">
          <cell r="B854">
            <v>45185.655546284725</v>
          </cell>
        </row>
        <row r="855">
          <cell r="B855">
            <v>45185.959132615739</v>
          </cell>
        </row>
        <row r="856">
          <cell r="B856">
            <v>45186.262718935184</v>
          </cell>
        </row>
        <row r="857">
          <cell r="B857">
            <v>45186.56630525463</v>
          </cell>
        </row>
        <row r="858">
          <cell r="B858">
            <v>45186.869891574075</v>
          </cell>
        </row>
        <row r="859">
          <cell r="B859">
            <v>45187.173477893521</v>
          </cell>
        </row>
        <row r="860">
          <cell r="B860">
            <v>45187.477064224535</v>
          </cell>
        </row>
        <row r="861">
          <cell r="B861">
            <v>45187.78065054398</v>
          </cell>
        </row>
        <row r="862">
          <cell r="B862">
            <v>45188.084236863426</v>
          </cell>
        </row>
        <row r="863">
          <cell r="B863">
            <v>45188.387823182871</v>
          </cell>
        </row>
        <row r="864">
          <cell r="B864">
            <v>45188.691409502317</v>
          </cell>
        </row>
        <row r="865">
          <cell r="B865">
            <v>45188.994995833331</v>
          </cell>
        </row>
        <row r="866">
          <cell r="B866">
            <v>45189.298582152776</v>
          </cell>
        </row>
        <row r="867">
          <cell r="B867">
            <v>45189.602168472222</v>
          </cell>
        </row>
        <row r="868">
          <cell r="B868">
            <v>45189.905754791667</v>
          </cell>
        </row>
        <row r="869">
          <cell r="B869">
            <v>45190.209341122689</v>
          </cell>
        </row>
        <row r="870">
          <cell r="B870">
            <v>45190.512927442127</v>
          </cell>
        </row>
        <row r="871">
          <cell r="B871">
            <v>45190.816513761572</v>
          </cell>
        </row>
        <row r="872">
          <cell r="B872">
            <v>45191.120100081018</v>
          </cell>
        </row>
        <row r="873">
          <cell r="B873">
            <v>45191.423686400463</v>
          </cell>
        </row>
        <row r="874">
          <cell r="B874">
            <v>45191.727272731485</v>
          </cell>
        </row>
        <row r="875">
          <cell r="B875">
            <v>45192.030859050923</v>
          </cell>
        </row>
        <row r="876">
          <cell r="B876">
            <v>45192.334445370368</v>
          </cell>
        </row>
        <row r="877">
          <cell r="B877">
            <v>45192.638031689814</v>
          </cell>
        </row>
        <row r="878">
          <cell r="B878">
            <v>45192.941618009259</v>
          </cell>
        </row>
        <row r="879">
          <cell r="B879">
            <v>45193.245204340281</v>
          </cell>
        </row>
        <row r="880">
          <cell r="B880">
            <v>45193.548790659719</v>
          </cell>
        </row>
        <row r="881">
          <cell r="B881">
            <v>45193.852376979165</v>
          </cell>
        </row>
        <row r="882">
          <cell r="B882">
            <v>45194.15596329861</v>
          </cell>
        </row>
        <row r="883">
          <cell r="B883">
            <v>45194.459549629632</v>
          </cell>
        </row>
        <row r="884">
          <cell r="B884">
            <v>45194.763135949077</v>
          </cell>
        </row>
        <row r="885">
          <cell r="B885">
            <v>45195.066722268515</v>
          </cell>
        </row>
        <row r="886">
          <cell r="B886">
            <v>45195.370308587961</v>
          </cell>
        </row>
        <row r="887">
          <cell r="B887">
            <v>45195.673894907406</v>
          </cell>
        </row>
        <row r="888">
          <cell r="B888">
            <v>45195.977481238428</v>
          </cell>
        </row>
        <row r="889">
          <cell r="B889">
            <v>45196.281067557873</v>
          </cell>
        </row>
        <row r="890">
          <cell r="B890">
            <v>45196.584653877311</v>
          </cell>
        </row>
        <row r="891">
          <cell r="B891">
            <v>45196.888240196757</v>
          </cell>
        </row>
        <row r="892">
          <cell r="B892">
            <v>45197.191826527778</v>
          </cell>
        </row>
        <row r="893">
          <cell r="B893">
            <v>45197.495412847224</v>
          </cell>
        </row>
        <row r="894">
          <cell r="B894">
            <v>45197.798999166669</v>
          </cell>
        </row>
        <row r="895">
          <cell r="B895">
            <v>45198.102585486115</v>
          </cell>
        </row>
        <row r="896">
          <cell r="B896">
            <v>45198.406171805553</v>
          </cell>
        </row>
        <row r="897">
          <cell r="B897">
            <v>45198.709758136574</v>
          </cell>
        </row>
        <row r="898">
          <cell r="B898">
            <v>45199.01334445602</v>
          </cell>
        </row>
        <row r="899">
          <cell r="B899">
            <v>45199.316930775465</v>
          </cell>
        </row>
        <row r="900">
          <cell r="B900">
            <v>45199.620517094911</v>
          </cell>
        </row>
        <row r="901">
          <cell r="B901">
            <v>45199.924103414349</v>
          </cell>
        </row>
        <row r="902">
          <cell r="B902">
            <v>45200.22768974537</v>
          </cell>
        </row>
        <row r="903">
          <cell r="B903">
            <v>45200.531276064816</v>
          </cell>
        </row>
        <row r="904">
          <cell r="B904">
            <v>45200.834862384261</v>
          </cell>
        </row>
        <row r="905">
          <cell r="B905">
            <v>45201.138448703707</v>
          </cell>
        </row>
        <row r="906">
          <cell r="B906">
            <v>45201.442035034721</v>
          </cell>
        </row>
        <row r="907">
          <cell r="B907">
            <v>45201.745621354166</v>
          </cell>
        </row>
        <row r="908">
          <cell r="B908">
            <v>45202.049207673612</v>
          </cell>
        </row>
        <row r="909">
          <cell r="B909">
            <v>45202.352793993057</v>
          </cell>
        </row>
        <row r="910">
          <cell r="B910">
            <v>45202.656380312503</v>
          </cell>
        </row>
        <row r="911">
          <cell r="B911">
            <v>45202.959966643517</v>
          </cell>
        </row>
        <row r="912">
          <cell r="B912">
            <v>45203.263552962962</v>
          </cell>
        </row>
        <row r="913">
          <cell r="B913">
            <v>45203.567139282408</v>
          </cell>
        </row>
        <row r="914">
          <cell r="B914">
            <v>45203.870725601853</v>
          </cell>
        </row>
        <row r="915">
          <cell r="B915">
            <v>45204.174311921299</v>
          </cell>
        </row>
        <row r="916">
          <cell r="B916">
            <v>45204.477898252313</v>
          </cell>
        </row>
        <row r="917">
          <cell r="B917">
            <v>45204.781484571758</v>
          </cell>
        </row>
        <row r="918">
          <cell r="B918">
            <v>45205.085070891204</v>
          </cell>
        </row>
        <row r="919">
          <cell r="B919">
            <v>45205.388657210649</v>
          </cell>
        </row>
        <row r="920">
          <cell r="B920">
            <v>45205.692243541664</v>
          </cell>
        </row>
        <row r="921">
          <cell r="B921">
            <v>45205.995829861109</v>
          </cell>
        </row>
        <row r="922">
          <cell r="B922">
            <v>45206.299416180555</v>
          </cell>
        </row>
        <row r="923">
          <cell r="B923">
            <v>45206.6030025</v>
          </cell>
        </row>
        <row r="924">
          <cell r="B924">
            <v>45206.906588819445</v>
          </cell>
        </row>
        <row r="925">
          <cell r="B925">
            <v>45207.21017515046</v>
          </cell>
        </row>
        <row r="926">
          <cell r="B926">
            <v>45207.513761469905</v>
          </cell>
        </row>
        <row r="927">
          <cell r="B927">
            <v>45207.817347789351</v>
          </cell>
        </row>
        <row r="928">
          <cell r="B928">
            <v>45208.120934108796</v>
          </cell>
        </row>
        <row r="929">
          <cell r="B929">
            <v>45208.424520428242</v>
          </cell>
        </row>
        <row r="930">
          <cell r="B930">
            <v>45208.728106759256</v>
          </cell>
        </row>
        <row r="931">
          <cell r="B931">
            <v>45209.031693078701</v>
          </cell>
        </row>
        <row r="932">
          <cell r="B932">
            <v>45209.335279398147</v>
          </cell>
        </row>
        <row r="933">
          <cell r="B933">
            <v>45209.638865717592</v>
          </cell>
        </row>
        <row r="934">
          <cell r="B934">
            <v>45209.942452048614</v>
          </cell>
        </row>
        <row r="935">
          <cell r="B935">
            <v>45210.246038368059</v>
          </cell>
        </row>
        <row r="936">
          <cell r="B936">
            <v>45210.549624687497</v>
          </cell>
        </row>
        <row r="937">
          <cell r="B937">
            <v>45210.853211006943</v>
          </cell>
        </row>
        <row r="938">
          <cell r="B938">
            <v>45211.156797326388</v>
          </cell>
        </row>
        <row r="939">
          <cell r="B939">
            <v>45211.46038365741</v>
          </cell>
        </row>
        <row r="940">
          <cell r="B940">
            <v>45211.763969976855</v>
          </cell>
        </row>
        <row r="941">
          <cell r="B941">
            <v>45212.067556296293</v>
          </cell>
        </row>
        <row r="942">
          <cell r="B942">
            <v>45212.371142615739</v>
          </cell>
        </row>
        <row r="943">
          <cell r="B943">
            <v>45212.674728935184</v>
          </cell>
        </row>
        <row r="944">
          <cell r="B944">
            <v>45212.978315266206</v>
          </cell>
        </row>
        <row r="945">
          <cell r="B945">
            <v>45213.281901585651</v>
          </cell>
        </row>
        <row r="946">
          <cell r="B946">
            <v>45213.585487905089</v>
          </cell>
        </row>
        <row r="947">
          <cell r="B947">
            <v>45213.889074224535</v>
          </cell>
        </row>
        <row r="948">
          <cell r="B948">
            <v>45214.192660555556</v>
          </cell>
        </row>
        <row r="949">
          <cell r="B949">
            <v>45214.496246875002</v>
          </cell>
        </row>
        <row r="950">
          <cell r="B950">
            <v>45214.799833194447</v>
          </cell>
        </row>
        <row r="951">
          <cell r="B951">
            <v>45215.103419513885</v>
          </cell>
        </row>
        <row r="952">
          <cell r="B952">
            <v>45215.407005833331</v>
          </cell>
        </row>
        <row r="953">
          <cell r="B953">
            <v>45215.710592164352</v>
          </cell>
        </row>
        <row r="954">
          <cell r="B954">
            <v>45216.014178483798</v>
          </cell>
        </row>
        <row r="955">
          <cell r="B955">
            <v>45216.317764803243</v>
          </cell>
        </row>
        <row r="956">
          <cell r="B956">
            <v>45216.621351122689</v>
          </cell>
        </row>
        <row r="957">
          <cell r="B957">
            <v>45216.924937442127</v>
          </cell>
        </row>
        <row r="958">
          <cell r="B958">
            <v>45217.228523773148</v>
          </cell>
        </row>
        <row r="959">
          <cell r="B959">
            <v>45217.532110092594</v>
          </cell>
        </row>
        <row r="960">
          <cell r="B960">
            <v>45217.835696412039</v>
          </cell>
        </row>
        <row r="961">
          <cell r="B961">
            <v>45218.139282731485</v>
          </cell>
        </row>
        <row r="962">
          <cell r="B962">
            <v>45218.442869062499</v>
          </cell>
        </row>
        <row r="963">
          <cell r="B963">
            <v>45218.746455381945</v>
          </cell>
        </row>
        <row r="964">
          <cell r="B964">
            <v>45219.05004170139</v>
          </cell>
        </row>
        <row r="965">
          <cell r="B965">
            <v>45219.353628020835</v>
          </cell>
        </row>
        <row r="966">
          <cell r="B966">
            <v>45219.657214340281</v>
          </cell>
        </row>
        <row r="967">
          <cell r="B967">
            <v>45219.960800671295</v>
          </cell>
        </row>
        <row r="968">
          <cell r="B968">
            <v>45220.264386990741</v>
          </cell>
        </row>
        <row r="969">
          <cell r="B969">
            <v>45220.567973310186</v>
          </cell>
        </row>
        <row r="970">
          <cell r="B970">
            <v>45220.871559629632</v>
          </cell>
        </row>
        <row r="971">
          <cell r="B971">
            <v>45221.175145960646</v>
          </cell>
        </row>
        <row r="972">
          <cell r="B972">
            <v>45221.478732280091</v>
          </cell>
        </row>
        <row r="973">
          <cell r="B973">
            <v>45221.782318599537</v>
          </cell>
        </row>
        <row r="974">
          <cell r="B974">
            <v>45222.085904918982</v>
          </cell>
        </row>
        <row r="975">
          <cell r="B975">
            <v>45222.389491238428</v>
          </cell>
        </row>
        <row r="976">
          <cell r="B976">
            <v>45222.693077569442</v>
          </cell>
        </row>
        <row r="977">
          <cell r="B977">
            <v>45222.996663888887</v>
          </cell>
        </row>
        <row r="978">
          <cell r="B978">
            <v>45223.300250208333</v>
          </cell>
        </row>
        <row r="979">
          <cell r="B979">
            <v>45223.603836527778</v>
          </cell>
        </row>
        <row r="980">
          <cell r="B980">
            <v>45223.907422847224</v>
          </cell>
        </row>
        <row r="981">
          <cell r="B981">
            <v>45224.211009178238</v>
          </cell>
        </row>
        <row r="982">
          <cell r="B982">
            <v>45224.514595497683</v>
          </cell>
        </row>
        <row r="983">
          <cell r="B983">
            <v>45224.818181817129</v>
          </cell>
        </row>
        <row r="984">
          <cell r="B984">
            <v>45225.121768136574</v>
          </cell>
        </row>
        <row r="985">
          <cell r="B985">
            <v>45225.425354467596</v>
          </cell>
        </row>
        <row r="986">
          <cell r="B986">
            <v>45225.728940787034</v>
          </cell>
        </row>
        <row r="987">
          <cell r="B987">
            <v>45226.032527106479</v>
          </cell>
        </row>
        <row r="988">
          <cell r="B988">
            <v>45226.336113425925</v>
          </cell>
        </row>
        <row r="989">
          <cell r="B989">
            <v>45226.63969974537</v>
          </cell>
        </row>
        <row r="990">
          <cell r="B990">
            <v>45226.943286076392</v>
          </cell>
        </row>
        <row r="991">
          <cell r="B991">
            <v>45227.24687239583</v>
          </cell>
        </row>
        <row r="992">
          <cell r="B992">
            <v>45227.550458715275</v>
          </cell>
        </row>
        <row r="993">
          <cell r="B993">
            <v>45227.854045034721</v>
          </cell>
        </row>
        <row r="994">
          <cell r="B994">
            <v>45228.157631354166</v>
          </cell>
        </row>
        <row r="995">
          <cell r="B995">
            <v>45228.461217685188</v>
          </cell>
        </row>
        <row r="996">
          <cell r="B996">
            <v>45228.764804004626</v>
          </cell>
        </row>
        <row r="997">
          <cell r="B997">
            <v>45229.068390324072</v>
          </cell>
        </row>
        <row r="998">
          <cell r="B998">
            <v>45229.371976643517</v>
          </cell>
        </row>
        <row r="999">
          <cell r="B999">
            <v>45229.675562974538</v>
          </cell>
        </row>
        <row r="1000">
          <cell r="B1000">
            <v>45229.979149293984</v>
          </cell>
        </row>
        <row r="1001">
          <cell r="B1001">
            <v>45230.282735613429</v>
          </cell>
        </row>
        <row r="1002">
          <cell r="B1002">
            <v>45230.586321932868</v>
          </cell>
        </row>
        <row r="1003">
          <cell r="B1003">
            <v>45230.889908252313</v>
          </cell>
        </row>
        <row r="1004">
          <cell r="B1004">
            <v>45231.193494583335</v>
          </cell>
        </row>
        <row r="1005">
          <cell r="B1005">
            <v>45231.49708090278</v>
          </cell>
        </row>
        <row r="1006">
          <cell r="B1006">
            <v>45231.800667222225</v>
          </cell>
        </row>
        <row r="1007">
          <cell r="B1007">
            <v>45232.104253541664</v>
          </cell>
        </row>
        <row r="1008">
          <cell r="B1008">
            <v>45232.407839861109</v>
          </cell>
        </row>
        <row r="1009">
          <cell r="B1009">
            <v>45232.711426192131</v>
          </cell>
        </row>
        <row r="1010">
          <cell r="B1010">
            <v>45233.015012511576</v>
          </cell>
        </row>
        <row r="1011">
          <cell r="B1011">
            <v>45233.318598831022</v>
          </cell>
        </row>
        <row r="1012">
          <cell r="B1012">
            <v>45233.62218515046</v>
          </cell>
        </row>
        <row r="1013">
          <cell r="B1013">
            <v>45233.925771481481</v>
          </cell>
        </row>
        <row r="1014">
          <cell r="B1014">
            <v>45234.229357800927</v>
          </cell>
        </row>
        <row r="1015">
          <cell r="B1015">
            <v>45234.532944120372</v>
          </cell>
        </row>
        <row r="1016">
          <cell r="B1016">
            <v>45234.836530439818</v>
          </cell>
        </row>
        <row r="1017">
          <cell r="B1017">
            <v>45235.140116759256</v>
          </cell>
        </row>
        <row r="1018">
          <cell r="B1018">
            <v>45235.443703090277</v>
          </cell>
        </row>
        <row r="1019">
          <cell r="B1019">
            <v>45235.747289409723</v>
          </cell>
        </row>
        <row r="1020">
          <cell r="B1020">
            <v>45236.050875729168</v>
          </cell>
        </row>
        <row r="1021">
          <cell r="B1021">
            <v>45236.354462048614</v>
          </cell>
        </row>
        <row r="1022">
          <cell r="B1022">
            <v>45236.658048368059</v>
          </cell>
        </row>
        <row r="1023">
          <cell r="B1023">
            <v>45236.961634699073</v>
          </cell>
        </row>
        <row r="1024">
          <cell r="B1024">
            <v>45237.265221018519</v>
          </cell>
        </row>
        <row r="1025">
          <cell r="B1025">
            <v>45237.568807337964</v>
          </cell>
        </row>
        <row r="1026">
          <cell r="B1026">
            <v>45237.87239365741</v>
          </cell>
        </row>
        <row r="1027">
          <cell r="B1027">
            <v>45238.175979988424</v>
          </cell>
        </row>
        <row r="1028">
          <cell r="B1028">
            <v>45238.479566307869</v>
          </cell>
        </row>
        <row r="1029">
          <cell r="B1029">
            <v>45238.783152627315</v>
          </cell>
        </row>
        <row r="1030">
          <cell r="B1030">
            <v>45239.08673894676</v>
          </cell>
        </row>
        <row r="1031">
          <cell r="B1031">
            <v>45239.390325266206</v>
          </cell>
        </row>
        <row r="1032">
          <cell r="B1032">
            <v>45239.69391159722</v>
          </cell>
        </row>
        <row r="1033">
          <cell r="B1033">
            <v>45239.997497916665</v>
          </cell>
        </row>
        <row r="1034">
          <cell r="B1034">
            <v>45240.301084236111</v>
          </cell>
        </row>
        <row r="1035">
          <cell r="B1035">
            <v>45240.604670555556</v>
          </cell>
        </row>
        <row r="1036">
          <cell r="B1036">
            <v>45240.908256875002</v>
          </cell>
        </row>
        <row r="1037">
          <cell r="B1037">
            <v>45241.211843206016</v>
          </cell>
        </row>
        <row r="1038">
          <cell r="B1038">
            <v>45241.515429525462</v>
          </cell>
        </row>
        <row r="1039">
          <cell r="B1039">
            <v>45241.819015844907</v>
          </cell>
        </row>
        <row r="1040">
          <cell r="B1040">
            <v>45242.122602164352</v>
          </cell>
        </row>
        <row r="1041">
          <cell r="B1041">
            <v>45242.426188495374</v>
          </cell>
        </row>
        <row r="1042">
          <cell r="B1042">
            <v>45242.729774814812</v>
          </cell>
        </row>
        <row r="1043">
          <cell r="B1043">
            <v>45243.033361134258</v>
          </cell>
        </row>
        <row r="1044">
          <cell r="B1044">
            <v>45243.336947453703</v>
          </cell>
        </row>
        <row r="1045">
          <cell r="B1045">
            <v>45243.640533773148</v>
          </cell>
        </row>
        <row r="1046">
          <cell r="B1046">
            <v>45243.94412010417</v>
          </cell>
        </row>
        <row r="1047">
          <cell r="B1047">
            <v>45244.247706423608</v>
          </cell>
        </row>
        <row r="1048">
          <cell r="B1048">
            <v>45244.551292743054</v>
          </cell>
        </row>
        <row r="1049">
          <cell r="B1049">
            <v>45244.854879062499</v>
          </cell>
        </row>
        <row r="1050">
          <cell r="B1050">
            <v>45245.158465393521</v>
          </cell>
        </row>
        <row r="1051">
          <cell r="B1051">
            <v>45245.462051712966</v>
          </cell>
        </row>
        <row r="1052">
          <cell r="B1052">
            <v>45245.765638032404</v>
          </cell>
        </row>
        <row r="1053">
          <cell r="B1053">
            <v>45246.06922435185</v>
          </cell>
        </row>
        <row r="1054">
          <cell r="B1054">
            <v>45246.372810671295</v>
          </cell>
        </row>
        <row r="1055">
          <cell r="B1055">
            <v>45246.676397002317</v>
          </cell>
        </row>
        <row r="1056">
          <cell r="B1056">
            <v>45246.979983321762</v>
          </cell>
        </row>
        <row r="1057">
          <cell r="B1057">
            <v>45247.2835696412</v>
          </cell>
        </row>
        <row r="1058">
          <cell r="B1058">
            <v>45247.587155960646</v>
          </cell>
        </row>
        <row r="1059">
          <cell r="B1059">
            <v>45247.890742280091</v>
          </cell>
        </row>
        <row r="1060">
          <cell r="B1060">
            <v>45248.194328611113</v>
          </cell>
        </row>
        <row r="1061">
          <cell r="B1061">
            <v>45248.497914930558</v>
          </cell>
        </row>
        <row r="1062">
          <cell r="B1062">
            <v>45248.801501249996</v>
          </cell>
        </row>
        <row r="1063">
          <cell r="B1063">
            <v>45249.105087569442</v>
          </cell>
        </row>
        <row r="1064">
          <cell r="B1064">
            <v>45249.408673900463</v>
          </cell>
        </row>
        <row r="1065">
          <cell r="B1065">
            <v>45249.712260219909</v>
          </cell>
        </row>
        <row r="1066">
          <cell r="B1066">
            <v>45250.015846539354</v>
          </cell>
        </row>
        <row r="1067">
          <cell r="B1067">
            <v>45250.3194328588</v>
          </cell>
        </row>
        <row r="1068">
          <cell r="B1068">
            <v>45250.623019178238</v>
          </cell>
        </row>
        <row r="1069">
          <cell r="B1069">
            <v>45250.926605509259</v>
          </cell>
        </row>
        <row r="1070">
          <cell r="B1070">
            <v>45251.230191828705</v>
          </cell>
        </row>
        <row r="1071">
          <cell r="B1071">
            <v>45251.53377814815</v>
          </cell>
        </row>
        <row r="1072">
          <cell r="B1072">
            <v>45251.837364467596</v>
          </cell>
        </row>
        <row r="1073">
          <cell r="B1073">
            <v>45252.140950787034</v>
          </cell>
        </row>
        <row r="1074">
          <cell r="B1074">
            <v>45252.444537118055</v>
          </cell>
        </row>
        <row r="1075">
          <cell r="B1075">
            <v>45252.748123437501</v>
          </cell>
        </row>
        <row r="1076">
          <cell r="B1076">
            <v>45253.051709756946</v>
          </cell>
        </row>
        <row r="1077">
          <cell r="B1077">
            <v>45253.355296076392</v>
          </cell>
        </row>
        <row r="1078">
          <cell r="B1078">
            <v>45253.658882407406</v>
          </cell>
        </row>
        <row r="1079">
          <cell r="B1079">
            <v>45253.962468726852</v>
          </cell>
        </row>
        <row r="1080">
          <cell r="B1080">
            <v>45254.266055046297</v>
          </cell>
        </row>
        <row r="1081">
          <cell r="B1081">
            <v>45254.569641365742</v>
          </cell>
        </row>
        <row r="1082">
          <cell r="B1082">
            <v>45254.873227685188</v>
          </cell>
        </row>
        <row r="1083">
          <cell r="B1083">
            <v>45255.176814016202</v>
          </cell>
        </row>
        <row r="1084">
          <cell r="B1084">
            <v>45255.480400335648</v>
          </cell>
        </row>
        <row r="1085">
          <cell r="B1085">
            <v>45255.783986655093</v>
          </cell>
        </row>
        <row r="1086">
          <cell r="B1086">
            <v>45256.087572974538</v>
          </cell>
        </row>
        <row r="1087">
          <cell r="B1087">
            <v>45256.391159293984</v>
          </cell>
        </row>
        <row r="1088">
          <cell r="B1088">
            <v>45256.694745624998</v>
          </cell>
        </row>
        <row r="1089">
          <cell r="B1089">
            <v>45256.998331944444</v>
          </cell>
        </row>
        <row r="1090">
          <cell r="B1090">
            <v>45257.301918263889</v>
          </cell>
        </row>
        <row r="1091">
          <cell r="B1091">
            <v>45257.605504583335</v>
          </cell>
        </row>
        <row r="1092">
          <cell r="B1092">
            <v>45257.909090914349</v>
          </cell>
        </row>
        <row r="1093">
          <cell r="B1093">
            <v>45258.212677233794</v>
          </cell>
        </row>
        <row r="1094">
          <cell r="B1094">
            <v>45258.51626355324</v>
          </cell>
        </row>
        <row r="1095">
          <cell r="B1095">
            <v>45258.819849872685</v>
          </cell>
        </row>
        <row r="1096">
          <cell r="B1096">
            <v>45259.123436192131</v>
          </cell>
        </row>
        <row r="1097">
          <cell r="B1097">
            <v>45259.427022523145</v>
          </cell>
        </row>
        <row r="1098">
          <cell r="B1098">
            <v>45259.73060884259</v>
          </cell>
        </row>
        <row r="1099">
          <cell r="B1099">
            <v>45260.034195162036</v>
          </cell>
        </row>
        <row r="1100">
          <cell r="B1100">
            <v>45260.337781481481</v>
          </cell>
        </row>
        <row r="1101">
          <cell r="B1101">
            <v>45260.641367800927</v>
          </cell>
        </row>
        <row r="1102">
          <cell r="B1102">
            <v>45260.944954131941</v>
          </cell>
        </row>
        <row r="1103">
          <cell r="B1103">
            <v>45261.248540451386</v>
          </cell>
        </row>
        <row r="1104">
          <cell r="B1104">
            <v>45261.552126770832</v>
          </cell>
        </row>
        <row r="1105">
          <cell r="B1105">
            <v>45261.855713090277</v>
          </cell>
        </row>
        <row r="1106">
          <cell r="B1106">
            <v>45262.159299421299</v>
          </cell>
        </row>
        <row r="1107">
          <cell r="B1107">
            <v>45262.462885740744</v>
          </cell>
        </row>
        <row r="1108">
          <cell r="B1108">
            <v>45262.766472060182</v>
          </cell>
        </row>
        <row r="1109">
          <cell r="B1109">
            <v>45263.070058379628</v>
          </cell>
        </row>
        <row r="1110">
          <cell r="B1110">
            <v>45263.373644699073</v>
          </cell>
        </row>
        <row r="1111">
          <cell r="B1111">
            <v>45263.677231030095</v>
          </cell>
        </row>
        <row r="1112">
          <cell r="B1112">
            <v>45263.98081734954</v>
          </cell>
        </row>
        <row r="1113">
          <cell r="B1113">
            <v>45264.284403668978</v>
          </cell>
        </row>
        <row r="1114">
          <cell r="B1114">
            <v>45264.587989988424</v>
          </cell>
        </row>
        <row r="1115">
          <cell r="B1115">
            <v>45264.891576307869</v>
          </cell>
        </row>
        <row r="1116">
          <cell r="B1116">
            <v>45265.195162638891</v>
          </cell>
        </row>
        <row r="1117">
          <cell r="B1117">
            <v>45265.498748958336</v>
          </cell>
        </row>
        <row r="1118">
          <cell r="B1118">
            <v>45265.802335277775</v>
          </cell>
        </row>
        <row r="1119">
          <cell r="B1119">
            <v>45266.10592159722</v>
          </cell>
        </row>
        <row r="1120">
          <cell r="B1120">
            <v>45266.409507928242</v>
          </cell>
        </row>
        <row r="1121">
          <cell r="B1121">
            <v>45266.713094247687</v>
          </cell>
        </row>
        <row r="1122">
          <cell r="B1122">
            <v>45267.016680567132</v>
          </cell>
        </row>
        <row r="1123">
          <cell r="B1123">
            <v>45267.320266886571</v>
          </cell>
        </row>
        <row r="1124">
          <cell r="B1124">
            <v>45267.623853206016</v>
          </cell>
        </row>
        <row r="1125">
          <cell r="B1125">
            <v>45267.927439537038</v>
          </cell>
        </row>
        <row r="1126">
          <cell r="B1126">
            <v>45268.231025856483</v>
          </cell>
        </row>
        <row r="1127">
          <cell r="B1127">
            <v>45268.534612175928</v>
          </cell>
        </row>
        <row r="1128">
          <cell r="B1128">
            <v>45268.838198495374</v>
          </cell>
        </row>
        <row r="1129">
          <cell r="B1129">
            <v>45269.141784826388</v>
          </cell>
        </row>
        <row r="1130">
          <cell r="B1130">
            <v>45269.445371145834</v>
          </cell>
        </row>
        <row r="1131">
          <cell r="B1131">
            <v>45269.748957465279</v>
          </cell>
        </row>
        <row r="1132">
          <cell r="B1132">
            <v>45270.052543784725</v>
          </cell>
        </row>
        <row r="1133">
          <cell r="B1133">
            <v>45270.35613010417</v>
          </cell>
        </row>
        <row r="1134">
          <cell r="B1134">
            <v>45270.659716435184</v>
          </cell>
        </row>
        <row r="1135">
          <cell r="B1135">
            <v>45270.96330275463</v>
          </cell>
        </row>
        <row r="1136">
          <cell r="B1136">
            <v>45271.266889074075</v>
          </cell>
        </row>
        <row r="1137">
          <cell r="B1137">
            <v>45271.570475393521</v>
          </cell>
        </row>
        <row r="1138">
          <cell r="B1138">
            <v>45271.874061712966</v>
          </cell>
        </row>
        <row r="1139">
          <cell r="B1139">
            <v>45272.17764804398</v>
          </cell>
        </row>
        <row r="1140">
          <cell r="B1140">
            <v>45272.481234363426</v>
          </cell>
        </row>
        <row r="1141">
          <cell r="B1141">
            <v>45272.784820682871</v>
          </cell>
        </row>
        <row r="1142">
          <cell r="B1142">
            <v>45273.088407002317</v>
          </cell>
        </row>
        <row r="1143">
          <cell r="B1143">
            <v>45273.391993333331</v>
          </cell>
        </row>
        <row r="1144">
          <cell r="B1144">
            <v>45273.695579652776</v>
          </cell>
        </row>
        <row r="1145">
          <cell r="B1145">
            <v>45273.999165972222</v>
          </cell>
        </row>
        <row r="1146">
          <cell r="B1146">
            <v>45274.302752291667</v>
          </cell>
        </row>
        <row r="1147">
          <cell r="B1147">
            <v>45274.606338611113</v>
          </cell>
        </row>
        <row r="1148">
          <cell r="B1148">
            <v>45274.909924942127</v>
          </cell>
        </row>
        <row r="1149">
          <cell r="B1149">
            <v>45275.213511261572</v>
          </cell>
        </row>
        <row r="1150">
          <cell r="B1150">
            <v>45275.517097581018</v>
          </cell>
        </row>
        <row r="1151">
          <cell r="B1151">
            <v>45275.820683900463</v>
          </cell>
        </row>
        <row r="1152">
          <cell r="B1152">
            <v>45276.124270219909</v>
          </cell>
        </row>
        <row r="1153">
          <cell r="B1153">
            <v>45276.427856550923</v>
          </cell>
        </row>
        <row r="1154">
          <cell r="B1154">
            <v>45276.731442870368</v>
          </cell>
        </row>
        <row r="1155">
          <cell r="B1155">
            <v>45277.035029189814</v>
          </cell>
        </row>
        <row r="1156">
          <cell r="B1156">
            <v>45277.338615509259</v>
          </cell>
        </row>
        <row r="1157">
          <cell r="B1157">
            <v>45277.642201840281</v>
          </cell>
        </row>
        <row r="1158">
          <cell r="B1158">
            <v>45277.945788159719</v>
          </cell>
        </row>
        <row r="1159">
          <cell r="B1159">
            <v>45278.249374479165</v>
          </cell>
        </row>
        <row r="1160">
          <cell r="B1160">
            <v>45278.55296079861</v>
          </cell>
        </row>
        <row r="1161">
          <cell r="B1161">
            <v>45278.856547118055</v>
          </cell>
        </row>
        <row r="1162">
          <cell r="B1162">
            <v>45279.160133449077</v>
          </cell>
        </row>
        <row r="1163">
          <cell r="B1163">
            <v>45279.463719768515</v>
          </cell>
        </row>
        <row r="1164">
          <cell r="B1164">
            <v>45279.767306087961</v>
          </cell>
        </row>
        <row r="1165">
          <cell r="B1165">
            <v>45280.070892407406</v>
          </cell>
        </row>
        <row r="1166">
          <cell r="B1166">
            <v>45280.374478726852</v>
          </cell>
        </row>
        <row r="1167">
          <cell r="B1167">
            <v>45280.678065057873</v>
          </cell>
        </row>
        <row r="1168">
          <cell r="B1168">
            <v>45280.981651377311</v>
          </cell>
        </row>
        <row r="1169">
          <cell r="B1169">
            <v>45281.285237696757</v>
          </cell>
        </row>
        <row r="1170">
          <cell r="B1170">
            <v>45281.588824016202</v>
          </cell>
        </row>
        <row r="1171">
          <cell r="B1171">
            <v>45281.892410347224</v>
          </cell>
        </row>
        <row r="1172">
          <cell r="B1172">
            <v>45282.195996666669</v>
          </cell>
        </row>
        <row r="1173">
          <cell r="B1173">
            <v>45282.499582986115</v>
          </cell>
        </row>
        <row r="1174">
          <cell r="B1174">
            <v>45282.803169305553</v>
          </cell>
        </row>
        <row r="1175">
          <cell r="B1175">
            <v>45283.106755624998</v>
          </cell>
        </row>
        <row r="1176">
          <cell r="B1176">
            <v>45283.41034195602</v>
          </cell>
        </row>
        <row r="1177">
          <cell r="B1177">
            <v>45283.713928275465</v>
          </cell>
        </row>
        <row r="1178">
          <cell r="B1178">
            <v>45284.017514594911</v>
          </cell>
        </row>
        <row r="1179">
          <cell r="B1179">
            <v>45284.321100914349</v>
          </cell>
        </row>
        <row r="1180">
          <cell r="B1180">
            <v>45284.624687233794</v>
          </cell>
        </row>
        <row r="1181">
          <cell r="B1181">
            <v>45284.928273564816</v>
          </cell>
        </row>
        <row r="1182">
          <cell r="B1182">
            <v>45285.231859884261</v>
          </cell>
        </row>
        <row r="1183">
          <cell r="B1183">
            <v>45285.535446203707</v>
          </cell>
        </row>
        <row r="1184">
          <cell r="B1184">
            <v>45285.839032523145</v>
          </cell>
        </row>
        <row r="1185">
          <cell r="B1185">
            <v>45286.142618854166</v>
          </cell>
        </row>
        <row r="1186">
          <cell r="B1186">
            <v>45286.446205173612</v>
          </cell>
        </row>
        <row r="1187">
          <cell r="B1187">
            <v>45286.749791493057</v>
          </cell>
        </row>
        <row r="1188">
          <cell r="B1188">
            <v>45287.053377812503</v>
          </cell>
        </row>
        <row r="1189">
          <cell r="B1189">
            <v>45287.356964131941</v>
          </cell>
        </row>
        <row r="1190">
          <cell r="B1190">
            <v>45287.660550462962</v>
          </cell>
        </row>
        <row r="1191">
          <cell r="B1191">
            <v>45287.964136782408</v>
          </cell>
        </row>
        <row r="1192">
          <cell r="B1192">
            <v>45288.267723101853</v>
          </cell>
        </row>
        <row r="1193">
          <cell r="B1193">
            <v>45288.571309421299</v>
          </cell>
        </row>
        <row r="1194">
          <cell r="B1194">
            <v>45288.874895740744</v>
          </cell>
        </row>
        <row r="1195">
          <cell r="B1195">
            <v>45289.178482071758</v>
          </cell>
        </row>
        <row r="1196">
          <cell r="B1196">
            <v>45289.482068391204</v>
          </cell>
        </row>
        <row r="1197">
          <cell r="B1197">
            <v>45289.785654710649</v>
          </cell>
        </row>
        <row r="1198">
          <cell r="B1198">
            <v>45290.089241030095</v>
          </cell>
        </row>
        <row r="1199">
          <cell r="B1199">
            <v>45290.392827361109</v>
          </cell>
        </row>
        <row r="1200">
          <cell r="B1200">
            <v>45290.696413680555</v>
          </cell>
        </row>
        <row r="1201">
          <cell r="B1201">
            <v>45291</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23" refreshedDate="46222.588098726854" createdVersion="8" refreshedVersion="8" minRefreshableVersion="3" recordCount="1200" xr:uid="{374E251A-E96A-437B-A778-0DAFBBD96BB6}">
  <cacheSource type="worksheet">
    <worksheetSource name="Table_1"/>
  </cacheSource>
  <cacheFields count="15">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Time 2"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Date22" numFmtId="14">
      <sharedItems containsSemiMixedTypes="0" containsNonDate="0" containsDate="1" containsString="0" minDate="2023-01-01T00:00:00" maxDate="2024-01-01T00:00:00"/>
    </cacheField>
    <cacheField name="Customer" numFmtId="0">
      <sharedItems/>
    </cacheField>
    <cacheField name="Region" numFmtId="0">
      <sharedItems count="4">
        <s v="North"/>
        <s v="South"/>
        <s v="West"/>
        <s v="East"/>
      </sharedItems>
    </cacheField>
    <cacheField name="Category" numFmtId="0">
      <sharedItems/>
    </cacheField>
    <cacheField name="Menu 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Months2"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725007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d v="2023-01-01T00:00:00"/>
    <s v="Customer_58"/>
    <x v="0"/>
    <s v="Asian"/>
    <x v="0"/>
    <n v="4"/>
    <n v="657"/>
    <x v="0"/>
    <n v="0"/>
    <x v="0"/>
  </r>
  <r>
    <n v="1002"/>
    <x v="1"/>
    <x v="1"/>
    <d v="2023-01-01T07:17:10"/>
    <s v="Customer_13"/>
    <x v="1"/>
    <s v="Fast Food"/>
    <x v="0"/>
    <n v="5"/>
    <n v="675"/>
    <x v="1"/>
    <n v="7"/>
    <x v="1"/>
  </r>
  <r>
    <n v="1003"/>
    <x v="2"/>
    <x v="2"/>
    <d v="2023-01-01T14:34:20"/>
    <s v="Customer_141"/>
    <x v="2"/>
    <s v="Main Course"/>
    <x v="1"/>
    <n v="3"/>
    <n v="229"/>
    <x v="2"/>
    <n v="14"/>
    <x v="2"/>
  </r>
  <r>
    <n v="1004"/>
    <x v="3"/>
    <x v="3"/>
    <d v="2023-01-01T21:51:30"/>
    <s v="Customer_126"/>
    <x v="0"/>
    <s v="Fast Food"/>
    <x v="1"/>
    <n v="5"/>
    <n v="921"/>
    <x v="3"/>
    <n v="21"/>
    <x v="3"/>
  </r>
  <r>
    <n v="1005"/>
    <x v="4"/>
    <x v="4"/>
    <d v="2023-01-02T05:08:39"/>
    <s v="Customer_115"/>
    <x v="0"/>
    <s v="Asian"/>
    <x v="2"/>
    <n v="5"/>
    <n v="462"/>
    <x v="4"/>
    <n v="5"/>
    <x v="4"/>
  </r>
  <r>
    <n v="1006"/>
    <x v="5"/>
    <x v="5"/>
    <d v="2023-01-02T12:25:49"/>
    <s v="Customer_72"/>
    <x v="2"/>
    <s v="Healthy"/>
    <x v="3"/>
    <n v="2"/>
    <n v="804"/>
    <x v="5"/>
    <n v="12"/>
    <x v="5"/>
  </r>
  <r>
    <n v="1007"/>
    <x v="6"/>
    <x v="6"/>
    <d v="2023-01-02T19:42:59"/>
    <s v="Customer_53"/>
    <x v="2"/>
    <s v="Asian"/>
    <x v="0"/>
    <n v="3"/>
    <n v="918"/>
    <x v="6"/>
    <n v="19"/>
    <x v="6"/>
  </r>
  <r>
    <n v="1008"/>
    <x v="7"/>
    <x v="7"/>
    <d v="2023-01-03T03:00:09"/>
    <s v="Customer_280"/>
    <x v="3"/>
    <s v="Healthy"/>
    <x v="4"/>
    <n v="3"/>
    <n v="792"/>
    <x v="7"/>
    <n v="3"/>
    <x v="0"/>
  </r>
  <r>
    <n v="1009"/>
    <x v="8"/>
    <x v="8"/>
    <d v="2023-01-03T10:17:19"/>
    <s v="Customer_45"/>
    <x v="0"/>
    <s v="Asian"/>
    <x v="3"/>
    <n v="3"/>
    <n v="391"/>
    <x v="8"/>
    <n v="10"/>
    <x v="1"/>
  </r>
  <r>
    <n v="1010"/>
    <x v="9"/>
    <x v="9"/>
    <d v="2023-01-03T17:34:29"/>
    <s v="Customer_217"/>
    <x v="2"/>
    <s v="Main Course"/>
    <x v="0"/>
    <n v="5"/>
    <n v="470"/>
    <x v="9"/>
    <n v="17"/>
    <x v="2"/>
  </r>
  <r>
    <n v="1011"/>
    <x v="10"/>
    <x v="10"/>
    <d v="2023-01-04T00:51:39"/>
    <s v="Customer_17"/>
    <x v="1"/>
    <s v="Healthy"/>
    <x v="5"/>
    <n v="4"/>
    <n v="893"/>
    <x v="10"/>
    <n v="0"/>
    <x v="3"/>
  </r>
  <r>
    <n v="1012"/>
    <x v="11"/>
    <x v="11"/>
    <d v="2023-01-04T08:08:48"/>
    <s v="Customer_16"/>
    <x v="0"/>
    <s v="Healthy"/>
    <x v="6"/>
    <n v="3"/>
    <n v="128"/>
    <x v="11"/>
    <n v="8"/>
    <x v="4"/>
  </r>
  <r>
    <n v="1013"/>
    <x v="12"/>
    <x v="12"/>
    <d v="2023-01-04T15:25:58"/>
    <s v="Customer_48"/>
    <x v="3"/>
    <s v="Fast Food"/>
    <x v="1"/>
    <n v="5"/>
    <n v="248"/>
    <x v="12"/>
    <n v="15"/>
    <x v="5"/>
  </r>
  <r>
    <n v="1014"/>
    <x v="13"/>
    <x v="13"/>
    <d v="2023-01-04T22:43:08"/>
    <s v="Customer_112"/>
    <x v="2"/>
    <s v="Asian"/>
    <x v="6"/>
    <n v="2"/>
    <n v="878"/>
    <x v="13"/>
    <n v="22"/>
    <x v="6"/>
  </r>
  <r>
    <n v="1015"/>
    <x v="14"/>
    <x v="14"/>
    <d v="2023-01-05T06:00:18"/>
    <s v="Customer_120"/>
    <x v="0"/>
    <s v="Continental"/>
    <x v="7"/>
    <n v="4"/>
    <n v="395"/>
    <x v="14"/>
    <n v="6"/>
    <x v="0"/>
  </r>
  <r>
    <n v="1016"/>
    <x v="15"/>
    <x v="15"/>
    <d v="2023-01-05T13:17:28"/>
    <s v="Customer_259"/>
    <x v="0"/>
    <s v="Continental"/>
    <x v="8"/>
    <n v="2"/>
    <n v="110"/>
    <x v="15"/>
    <n v="13"/>
    <x v="1"/>
  </r>
  <r>
    <n v="1017"/>
    <x v="16"/>
    <x v="16"/>
    <d v="2023-01-05T20:34:38"/>
    <s v="Customer_14"/>
    <x v="2"/>
    <s v="Fast Food"/>
    <x v="5"/>
    <n v="4"/>
    <n v="611"/>
    <x v="16"/>
    <n v="20"/>
    <x v="2"/>
  </r>
  <r>
    <n v="1018"/>
    <x v="17"/>
    <x v="17"/>
    <d v="2023-01-06T03:51:48"/>
    <s v="Customer_288"/>
    <x v="2"/>
    <s v="Asian"/>
    <x v="2"/>
    <n v="5"/>
    <n v="775"/>
    <x v="17"/>
    <n v="3"/>
    <x v="3"/>
  </r>
  <r>
    <n v="1019"/>
    <x v="18"/>
    <x v="18"/>
    <d v="2023-01-06T11:08:57"/>
    <s v="Customer_102"/>
    <x v="2"/>
    <s v="Main Course"/>
    <x v="5"/>
    <n v="1"/>
    <n v="212"/>
    <x v="18"/>
    <n v="11"/>
    <x v="4"/>
  </r>
  <r>
    <n v="1020"/>
    <x v="19"/>
    <x v="19"/>
    <d v="2023-01-06T18:26:07"/>
    <s v="Customer_280"/>
    <x v="0"/>
    <s v="Fast Food"/>
    <x v="6"/>
    <n v="4"/>
    <n v="286"/>
    <x v="19"/>
    <n v="18"/>
    <x v="5"/>
  </r>
  <r>
    <n v="1021"/>
    <x v="20"/>
    <x v="20"/>
    <d v="2023-01-07T01:43:17"/>
    <s v="Customer_215"/>
    <x v="2"/>
    <s v="Healthy"/>
    <x v="6"/>
    <n v="2"/>
    <n v="906"/>
    <x v="20"/>
    <n v="1"/>
    <x v="6"/>
  </r>
  <r>
    <n v="1022"/>
    <x v="21"/>
    <x v="21"/>
    <d v="2023-01-07T09:00:27"/>
    <s v="Customer_113"/>
    <x v="2"/>
    <s v="Main Course"/>
    <x v="0"/>
    <n v="5"/>
    <n v="843"/>
    <x v="21"/>
    <n v="9"/>
    <x v="0"/>
  </r>
  <r>
    <n v="1023"/>
    <x v="22"/>
    <x v="22"/>
    <d v="2023-01-07T16:17:37"/>
    <s v="Customer_230"/>
    <x v="0"/>
    <s v="Asian"/>
    <x v="0"/>
    <n v="4"/>
    <n v="326"/>
    <x v="22"/>
    <n v="16"/>
    <x v="1"/>
  </r>
  <r>
    <n v="1024"/>
    <x v="23"/>
    <x v="23"/>
    <d v="2023-01-07T23:34:47"/>
    <s v="Customer_143"/>
    <x v="0"/>
    <s v="Healthy"/>
    <x v="7"/>
    <n v="1"/>
    <n v="409"/>
    <x v="23"/>
    <n v="23"/>
    <x v="2"/>
  </r>
  <r>
    <n v="1025"/>
    <x v="24"/>
    <x v="24"/>
    <d v="2023-01-08T06:51:57"/>
    <s v="Customer_4"/>
    <x v="3"/>
    <s v="Continental"/>
    <x v="3"/>
    <n v="1"/>
    <n v="197"/>
    <x v="24"/>
    <n v="6"/>
    <x v="3"/>
  </r>
  <r>
    <n v="1026"/>
    <x v="25"/>
    <x v="25"/>
    <d v="2023-01-08T14:09:06"/>
    <s v="Customer_82"/>
    <x v="1"/>
    <s v="Asian"/>
    <x v="7"/>
    <n v="3"/>
    <n v="154"/>
    <x v="25"/>
    <n v="14"/>
    <x v="4"/>
  </r>
  <r>
    <n v="1027"/>
    <x v="26"/>
    <x v="26"/>
    <d v="2023-01-08T21:26:16"/>
    <s v="Customer_217"/>
    <x v="0"/>
    <s v="Healthy"/>
    <x v="2"/>
    <n v="3"/>
    <n v="722"/>
    <x v="26"/>
    <n v="21"/>
    <x v="5"/>
  </r>
  <r>
    <n v="1028"/>
    <x v="27"/>
    <x v="27"/>
    <d v="2023-01-09T04:43:26"/>
    <s v="Customer_175"/>
    <x v="1"/>
    <s v="Asian"/>
    <x v="0"/>
    <n v="2"/>
    <n v="763"/>
    <x v="27"/>
    <n v="4"/>
    <x v="6"/>
  </r>
  <r>
    <n v="1029"/>
    <x v="28"/>
    <x v="28"/>
    <d v="2023-01-09T12:00:36"/>
    <s v="Customer_143"/>
    <x v="3"/>
    <s v="Healthy"/>
    <x v="2"/>
    <n v="4"/>
    <n v="857"/>
    <x v="28"/>
    <n v="12"/>
    <x v="0"/>
  </r>
  <r>
    <n v="1030"/>
    <x v="29"/>
    <x v="29"/>
    <d v="2023-01-09T19:17:46"/>
    <s v="Customer_80"/>
    <x v="3"/>
    <s v="Asian"/>
    <x v="0"/>
    <n v="4"/>
    <n v="505"/>
    <x v="29"/>
    <n v="19"/>
    <x v="1"/>
  </r>
  <r>
    <n v="1031"/>
    <x v="30"/>
    <x v="30"/>
    <d v="2023-01-10T02:34:56"/>
    <s v="Customer_111"/>
    <x v="2"/>
    <s v="Continental"/>
    <x v="0"/>
    <n v="3"/>
    <n v="168"/>
    <x v="30"/>
    <n v="2"/>
    <x v="2"/>
  </r>
  <r>
    <n v="1032"/>
    <x v="31"/>
    <x v="31"/>
    <d v="2023-01-10T09:52:06"/>
    <s v="Customer_173"/>
    <x v="3"/>
    <s v="Fast Food"/>
    <x v="0"/>
    <n v="4"/>
    <n v="411"/>
    <x v="31"/>
    <n v="9"/>
    <x v="3"/>
  </r>
  <r>
    <n v="1033"/>
    <x v="32"/>
    <x v="32"/>
    <d v="2023-01-10T17:09:15"/>
    <s v="Customer_53"/>
    <x v="2"/>
    <s v="Healthy"/>
    <x v="4"/>
    <n v="4"/>
    <n v="388"/>
    <x v="32"/>
    <n v="17"/>
    <x v="4"/>
  </r>
  <r>
    <n v="1034"/>
    <x v="33"/>
    <x v="33"/>
    <d v="2023-01-11T00:26:25"/>
    <s v="Customer_48"/>
    <x v="2"/>
    <s v="Healthy"/>
    <x v="9"/>
    <n v="1"/>
    <n v="861"/>
    <x v="33"/>
    <n v="0"/>
    <x v="5"/>
  </r>
  <r>
    <n v="1035"/>
    <x v="34"/>
    <x v="34"/>
    <d v="2023-01-11T07:43:35"/>
    <s v="Customer_195"/>
    <x v="0"/>
    <s v="Continental"/>
    <x v="5"/>
    <n v="3"/>
    <n v="647"/>
    <x v="34"/>
    <n v="7"/>
    <x v="6"/>
  </r>
  <r>
    <n v="1036"/>
    <x v="35"/>
    <x v="35"/>
    <d v="2023-01-11T15:00:45"/>
    <s v="Customer_50"/>
    <x v="0"/>
    <s v="Fast Food"/>
    <x v="4"/>
    <n v="5"/>
    <n v="850"/>
    <x v="35"/>
    <n v="15"/>
    <x v="0"/>
  </r>
  <r>
    <n v="1037"/>
    <x v="36"/>
    <x v="36"/>
    <d v="2023-01-11T22:17:55"/>
    <s v="Customer_184"/>
    <x v="1"/>
    <s v="Asian"/>
    <x v="8"/>
    <n v="3"/>
    <n v="247"/>
    <x v="36"/>
    <n v="22"/>
    <x v="1"/>
  </r>
  <r>
    <n v="1038"/>
    <x v="37"/>
    <x v="37"/>
    <d v="2023-01-12T05:35:05"/>
    <s v="Customer_177"/>
    <x v="2"/>
    <s v="Healthy"/>
    <x v="6"/>
    <n v="5"/>
    <n v="566"/>
    <x v="37"/>
    <n v="5"/>
    <x v="2"/>
  </r>
  <r>
    <n v="1039"/>
    <x v="38"/>
    <x v="38"/>
    <d v="2023-01-12T12:52:15"/>
    <s v="Customer_136"/>
    <x v="2"/>
    <s v="Fast Food"/>
    <x v="1"/>
    <n v="1"/>
    <n v="838"/>
    <x v="38"/>
    <n v="12"/>
    <x v="3"/>
  </r>
  <r>
    <n v="1040"/>
    <x v="39"/>
    <x v="39"/>
    <d v="2023-01-12T20:09:24"/>
    <s v="Customer_23"/>
    <x v="1"/>
    <s v="Asian"/>
    <x v="2"/>
    <n v="2"/>
    <n v="343"/>
    <x v="39"/>
    <n v="20"/>
    <x v="4"/>
  </r>
  <r>
    <n v="1041"/>
    <x v="40"/>
    <x v="40"/>
    <d v="2023-01-13T03:26:34"/>
    <s v="Customer_236"/>
    <x v="2"/>
    <s v="Healthy"/>
    <x v="9"/>
    <n v="4"/>
    <n v="590"/>
    <x v="40"/>
    <n v="3"/>
    <x v="5"/>
  </r>
  <r>
    <n v="1042"/>
    <x v="41"/>
    <x v="41"/>
    <d v="2023-01-13T10:43:44"/>
    <s v="Customer_275"/>
    <x v="3"/>
    <s v="Healthy"/>
    <x v="8"/>
    <n v="1"/>
    <n v="948"/>
    <x v="41"/>
    <n v="10"/>
    <x v="6"/>
  </r>
  <r>
    <n v="1043"/>
    <x v="42"/>
    <x v="42"/>
    <d v="2023-01-13T18:00:54"/>
    <s v="Customer_64"/>
    <x v="2"/>
    <s v="Asian"/>
    <x v="3"/>
    <n v="4"/>
    <n v="606"/>
    <x v="42"/>
    <n v="18"/>
    <x v="0"/>
  </r>
  <r>
    <n v="1044"/>
    <x v="43"/>
    <x v="43"/>
    <d v="2023-01-14T01:18:04"/>
    <s v="Customer_194"/>
    <x v="2"/>
    <s v="Continental"/>
    <x v="0"/>
    <n v="2"/>
    <n v="464"/>
    <x v="43"/>
    <n v="1"/>
    <x v="1"/>
  </r>
  <r>
    <n v="1045"/>
    <x v="44"/>
    <x v="44"/>
    <d v="2023-01-14T08:35:14"/>
    <s v="Customer_41"/>
    <x v="2"/>
    <s v="Fast Food"/>
    <x v="0"/>
    <n v="2"/>
    <n v="581"/>
    <x v="44"/>
    <n v="8"/>
    <x v="2"/>
  </r>
  <r>
    <n v="1046"/>
    <x v="45"/>
    <x v="45"/>
    <d v="2023-01-14T15:52:24"/>
    <s v="Customer_283"/>
    <x v="0"/>
    <s v="Healthy"/>
    <x v="1"/>
    <n v="1"/>
    <n v="300"/>
    <x v="45"/>
    <n v="15"/>
    <x v="3"/>
  </r>
  <r>
    <n v="1047"/>
    <x v="46"/>
    <x v="46"/>
    <d v="2023-01-14T23:09:33"/>
    <s v="Customer_151"/>
    <x v="3"/>
    <s v="Asian"/>
    <x v="1"/>
    <n v="2"/>
    <n v="253"/>
    <x v="46"/>
    <n v="23"/>
    <x v="4"/>
  </r>
  <r>
    <n v="1048"/>
    <x v="47"/>
    <x v="47"/>
    <d v="2023-01-15T06:26:43"/>
    <s v="Customer_186"/>
    <x v="2"/>
    <s v="Healthy"/>
    <x v="1"/>
    <n v="5"/>
    <n v="549"/>
    <x v="47"/>
    <n v="6"/>
    <x v="5"/>
  </r>
  <r>
    <n v="1049"/>
    <x v="48"/>
    <x v="48"/>
    <d v="2023-01-15T13:43:53"/>
    <s v="Customer_296"/>
    <x v="3"/>
    <s v="Asian"/>
    <x v="8"/>
    <n v="2"/>
    <n v="600"/>
    <x v="48"/>
    <n v="13"/>
    <x v="6"/>
  </r>
  <r>
    <n v="1050"/>
    <x v="49"/>
    <x v="49"/>
    <d v="2023-01-15T21:01:03"/>
    <s v="Customer_99"/>
    <x v="3"/>
    <s v="Healthy"/>
    <x v="6"/>
    <n v="4"/>
    <n v="172"/>
    <x v="49"/>
    <n v="21"/>
    <x v="0"/>
  </r>
  <r>
    <n v="1051"/>
    <x v="50"/>
    <x v="50"/>
    <d v="2023-01-16T04:18:13"/>
    <s v="Customer_36"/>
    <x v="3"/>
    <s v="Main Course"/>
    <x v="6"/>
    <n v="4"/>
    <n v="812"/>
    <x v="50"/>
    <n v="4"/>
    <x v="1"/>
  </r>
  <r>
    <n v="1052"/>
    <x v="51"/>
    <x v="51"/>
    <d v="2023-01-16T11:35:23"/>
    <s v="Customer_24"/>
    <x v="1"/>
    <s v="Continental"/>
    <x v="4"/>
    <n v="4"/>
    <n v="395"/>
    <x v="14"/>
    <n v="11"/>
    <x v="2"/>
  </r>
  <r>
    <n v="1053"/>
    <x v="52"/>
    <x v="52"/>
    <d v="2023-01-16T18:52:33"/>
    <s v="Customer_117"/>
    <x v="2"/>
    <s v="Fast Food"/>
    <x v="2"/>
    <n v="4"/>
    <n v="116"/>
    <x v="51"/>
    <n v="18"/>
    <x v="3"/>
  </r>
  <r>
    <n v="1054"/>
    <x v="53"/>
    <x v="53"/>
    <d v="2023-01-17T02:09:42"/>
    <s v="Customer_149"/>
    <x v="0"/>
    <s v="Continental"/>
    <x v="4"/>
    <n v="5"/>
    <n v="740"/>
    <x v="52"/>
    <n v="2"/>
    <x v="4"/>
  </r>
  <r>
    <n v="1055"/>
    <x v="54"/>
    <x v="54"/>
    <d v="2023-01-17T09:26:52"/>
    <s v="Customer_41"/>
    <x v="0"/>
    <s v="Continental"/>
    <x v="5"/>
    <n v="3"/>
    <n v="316"/>
    <x v="41"/>
    <n v="9"/>
    <x v="5"/>
  </r>
  <r>
    <n v="1056"/>
    <x v="55"/>
    <x v="55"/>
    <d v="2023-01-17T16:44:02"/>
    <s v="Customer_120"/>
    <x v="0"/>
    <s v="Fast Food"/>
    <x v="3"/>
    <n v="1"/>
    <n v="160"/>
    <x v="53"/>
    <n v="16"/>
    <x v="6"/>
  </r>
  <r>
    <n v="1057"/>
    <x v="56"/>
    <x v="56"/>
    <d v="2023-01-18T00:01:12"/>
    <s v="Customer_52"/>
    <x v="0"/>
    <s v="Continental"/>
    <x v="2"/>
    <n v="4"/>
    <n v="715"/>
    <x v="54"/>
    <n v="0"/>
    <x v="0"/>
  </r>
  <r>
    <n v="1058"/>
    <x v="57"/>
    <x v="57"/>
    <d v="2023-01-18T07:18:22"/>
    <s v="Customer_195"/>
    <x v="2"/>
    <s v="Main Course"/>
    <x v="5"/>
    <n v="2"/>
    <n v="141"/>
    <x v="55"/>
    <n v="7"/>
    <x v="1"/>
  </r>
  <r>
    <n v="1059"/>
    <x v="58"/>
    <x v="58"/>
    <d v="2023-01-18T14:35:32"/>
    <s v="Customer_143"/>
    <x v="0"/>
    <s v="Asian"/>
    <x v="0"/>
    <n v="4"/>
    <n v="124"/>
    <x v="56"/>
    <n v="14"/>
    <x v="2"/>
  </r>
  <r>
    <n v="1060"/>
    <x v="59"/>
    <x v="59"/>
    <d v="2023-01-18T21:52:42"/>
    <s v="Customer_233"/>
    <x v="3"/>
    <s v="Fast Food"/>
    <x v="9"/>
    <n v="2"/>
    <n v="138"/>
    <x v="57"/>
    <n v="21"/>
    <x v="3"/>
  </r>
  <r>
    <n v="1061"/>
    <x v="60"/>
    <x v="60"/>
    <d v="2023-01-19T05:09:51"/>
    <s v="Customer_187"/>
    <x v="1"/>
    <s v="Asian"/>
    <x v="5"/>
    <n v="2"/>
    <n v="902"/>
    <x v="58"/>
    <n v="5"/>
    <x v="4"/>
  </r>
  <r>
    <n v="1062"/>
    <x v="61"/>
    <x v="61"/>
    <d v="2023-01-19T12:27:01"/>
    <s v="Customer_84"/>
    <x v="0"/>
    <s v="Healthy"/>
    <x v="9"/>
    <n v="4"/>
    <n v="230"/>
    <x v="59"/>
    <n v="12"/>
    <x v="5"/>
  </r>
  <r>
    <n v="1063"/>
    <x v="62"/>
    <x v="62"/>
    <d v="2023-01-19T19:44:11"/>
    <s v="Customer_190"/>
    <x v="3"/>
    <s v="Main Course"/>
    <x v="0"/>
    <n v="5"/>
    <n v="597"/>
    <x v="60"/>
    <n v="19"/>
    <x v="6"/>
  </r>
  <r>
    <n v="1064"/>
    <x v="63"/>
    <x v="63"/>
    <d v="2023-01-20T03:01:21"/>
    <s v="Customer_182"/>
    <x v="0"/>
    <s v="Asian"/>
    <x v="7"/>
    <n v="2"/>
    <n v="328"/>
    <x v="61"/>
    <n v="3"/>
    <x v="0"/>
  </r>
  <r>
    <n v="1065"/>
    <x v="64"/>
    <x v="64"/>
    <d v="2023-01-20T10:18:31"/>
    <s v="Customer_108"/>
    <x v="2"/>
    <s v="Asian"/>
    <x v="3"/>
    <n v="2"/>
    <n v="207"/>
    <x v="62"/>
    <n v="10"/>
    <x v="1"/>
  </r>
  <r>
    <n v="1066"/>
    <x v="65"/>
    <x v="65"/>
    <d v="2023-01-20T17:35:41"/>
    <s v="Customer_137"/>
    <x v="3"/>
    <s v="Fast Food"/>
    <x v="9"/>
    <n v="4"/>
    <n v="271"/>
    <x v="63"/>
    <n v="17"/>
    <x v="2"/>
  </r>
  <r>
    <n v="1067"/>
    <x v="66"/>
    <x v="66"/>
    <d v="2023-01-21T00:52:51"/>
    <s v="Customer_37"/>
    <x v="2"/>
    <s v="Healthy"/>
    <x v="0"/>
    <n v="2"/>
    <n v="534"/>
    <x v="64"/>
    <n v="0"/>
    <x v="3"/>
  </r>
  <r>
    <n v="1068"/>
    <x v="67"/>
    <x v="67"/>
    <d v="2023-01-21T08:10:00"/>
    <s v="Customer_88"/>
    <x v="0"/>
    <s v="Fast Food"/>
    <x v="5"/>
    <n v="2"/>
    <n v="577"/>
    <x v="65"/>
    <n v="8"/>
    <x v="4"/>
  </r>
  <r>
    <n v="1069"/>
    <x v="68"/>
    <x v="68"/>
    <d v="2023-01-21T15:27:10"/>
    <s v="Customer_274"/>
    <x v="3"/>
    <s v="Healthy"/>
    <x v="9"/>
    <n v="4"/>
    <n v="201"/>
    <x v="66"/>
    <n v="15"/>
    <x v="5"/>
  </r>
  <r>
    <n v="1070"/>
    <x v="69"/>
    <x v="69"/>
    <d v="2023-01-21T22:44:20"/>
    <s v="Customer_126"/>
    <x v="3"/>
    <s v="Fast Food"/>
    <x v="2"/>
    <n v="4"/>
    <n v="965"/>
    <x v="67"/>
    <n v="22"/>
    <x v="6"/>
  </r>
  <r>
    <n v="1071"/>
    <x v="70"/>
    <x v="70"/>
    <d v="2023-01-22T06:01:30"/>
    <s v="Customer_84"/>
    <x v="3"/>
    <s v="Asian"/>
    <x v="7"/>
    <n v="1"/>
    <n v="623"/>
    <x v="68"/>
    <n v="6"/>
    <x v="0"/>
  </r>
  <r>
    <n v="1072"/>
    <x v="71"/>
    <x v="71"/>
    <d v="2023-01-22T13:18:40"/>
    <s v="Customer_237"/>
    <x v="0"/>
    <s v="Asian"/>
    <x v="4"/>
    <n v="5"/>
    <n v="374"/>
    <x v="69"/>
    <n v="13"/>
    <x v="1"/>
  </r>
  <r>
    <n v="1073"/>
    <x v="72"/>
    <x v="72"/>
    <d v="2023-01-22T20:35:50"/>
    <s v="Customer_195"/>
    <x v="1"/>
    <s v="Main Course"/>
    <x v="2"/>
    <n v="5"/>
    <n v="712"/>
    <x v="70"/>
    <n v="20"/>
    <x v="2"/>
  </r>
  <r>
    <n v="1074"/>
    <x v="73"/>
    <x v="73"/>
    <d v="2023-01-23T03:53:00"/>
    <s v="Customer_139"/>
    <x v="1"/>
    <s v="Asian"/>
    <x v="4"/>
    <n v="2"/>
    <n v="143"/>
    <x v="71"/>
    <n v="3"/>
    <x v="3"/>
  </r>
  <r>
    <n v="1075"/>
    <x v="74"/>
    <x v="74"/>
    <d v="2023-01-23T11:10:10"/>
    <s v="Customer_286"/>
    <x v="2"/>
    <s v="Continental"/>
    <x v="0"/>
    <n v="5"/>
    <n v="916"/>
    <x v="72"/>
    <n v="11"/>
    <x v="4"/>
  </r>
  <r>
    <n v="1076"/>
    <x v="75"/>
    <x v="75"/>
    <d v="2023-01-23T18:27:19"/>
    <s v="Customer_113"/>
    <x v="1"/>
    <s v="Asian"/>
    <x v="1"/>
    <n v="2"/>
    <n v="116"/>
    <x v="73"/>
    <n v="18"/>
    <x v="5"/>
  </r>
  <r>
    <n v="1077"/>
    <x v="76"/>
    <x v="76"/>
    <d v="2023-01-24T01:44:29"/>
    <s v="Customer_167"/>
    <x v="0"/>
    <s v="Continental"/>
    <x v="2"/>
    <n v="1"/>
    <n v="429"/>
    <x v="74"/>
    <n v="1"/>
    <x v="6"/>
  </r>
  <r>
    <n v="1078"/>
    <x v="77"/>
    <x v="77"/>
    <d v="2023-01-24T09:01:39"/>
    <s v="Customer_29"/>
    <x v="3"/>
    <s v="Asian"/>
    <x v="2"/>
    <n v="4"/>
    <n v="668"/>
    <x v="75"/>
    <n v="9"/>
    <x v="0"/>
  </r>
  <r>
    <n v="1079"/>
    <x v="78"/>
    <x v="78"/>
    <d v="2023-01-24T16:18:49"/>
    <s v="Customer_118"/>
    <x v="3"/>
    <s v="Continental"/>
    <x v="0"/>
    <n v="4"/>
    <n v="922"/>
    <x v="76"/>
    <n v="16"/>
    <x v="1"/>
  </r>
  <r>
    <n v="1080"/>
    <x v="79"/>
    <x v="79"/>
    <d v="2023-01-24T23:35:59"/>
    <s v="Customer_17"/>
    <x v="0"/>
    <s v="Continental"/>
    <x v="6"/>
    <n v="4"/>
    <n v="596"/>
    <x v="77"/>
    <n v="23"/>
    <x v="2"/>
  </r>
  <r>
    <n v="1081"/>
    <x v="80"/>
    <x v="80"/>
    <d v="2023-01-25T06:53:09"/>
    <s v="Customer_162"/>
    <x v="3"/>
    <s v="Asian"/>
    <x v="0"/>
    <n v="5"/>
    <n v="914"/>
    <x v="78"/>
    <n v="6"/>
    <x v="3"/>
  </r>
  <r>
    <n v="1082"/>
    <x v="81"/>
    <x v="81"/>
    <d v="2023-01-25T14:10:19"/>
    <s v="Customer_206"/>
    <x v="1"/>
    <s v="Continental"/>
    <x v="3"/>
    <n v="1"/>
    <n v="111"/>
    <x v="79"/>
    <n v="14"/>
    <x v="4"/>
  </r>
  <r>
    <n v="1083"/>
    <x v="82"/>
    <x v="82"/>
    <d v="2023-01-25T21:27:28"/>
    <s v="Customer_138"/>
    <x v="2"/>
    <s v="Main Course"/>
    <x v="7"/>
    <n v="5"/>
    <n v="417"/>
    <x v="80"/>
    <n v="21"/>
    <x v="5"/>
  </r>
  <r>
    <n v="1084"/>
    <x v="83"/>
    <x v="83"/>
    <d v="2023-01-26T04:44:38"/>
    <s v="Customer_34"/>
    <x v="0"/>
    <s v="Healthy"/>
    <x v="3"/>
    <n v="5"/>
    <n v="691"/>
    <x v="81"/>
    <n v="4"/>
    <x v="6"/>
  </r>
  <r>
    <n v="1085"/>
    <x v="84"/>
    <x v="84"/>
    <d v="2023-01-26T12:01:48"/>
    <s v="Customer_109"/>
    <x v="3"/>
    <s v="Continental"/>
    <x v="8"/>
    <n v="1"/>
    <n v="315"/>
    <x v="82"/>
    <n v="12"/>
    <x v="0"/>
  </r>
  <r>
    <n v="1086"/>
    <x v="85"/>
    <x v="85"/>
    <d v="2023-01-26T19:18:58"/>
    <s v="Customer_291"/>
    <x v="0"/>
    <s v="Continental"/>
    <x v="6"/>
    <n v="1"/>
    <n v="438"/>
    <x v="83"/>
    <n v="19"/>
    <x v="1"/>
  </r>
  <r>
    <n v="1087"/>
    <x v="86"/>
    <x v="86"/>
    <d v="2023-01-27T02:36:08"/>
    <s v="Customer_162"/>
    <x v="1"/>
    <s v="Main Course"/>
    <x v="6"/>
    <n v="1"/>
    <n v="875"/>
    <x v="84"/>
    <n v="2"/>
    <x v="2"/>
  </r>
  <r>
    <n v="1088"/>
    <x v="87"/>
    <x v="87"/>
    <d v="2023-01-27T09:53:18"/>
    <s v="Customer_109"/>
    <x v="3"/>
    <s v="Main Course"/>
    <x v="6"/>
    <n v="1"/>
    <n v="760"/>
    <x v="85"/>
    <n v="9"/>
    <x v="3"/>
  </r>
  <r>
    <n v="1089"/>
    <x v="88"/>
    <x v="88"/>
    <d v="2023-01-27T17:10:28"/>
    <s v="Customer_256"/>
    <x v="3"/>
    <s v="Fast Food"/>
    <x v="7"/>
    <n v="4"/>
    <n v="180"/>
    <x v="86"/>
    <n v="17"/>
    <x v="4"/>
  </r>
  <r>
    <n v="1090"/>
    <x v="89"/>
    <x v="89"/>
    <d v="2023-01-28T00:27:37"/>
    <s v="Customer_203"/>
    <x v="3"/>
    <s v="Healthy"/>
    <x v="3"/>
    <n v="3"/>
    <n v="826"/>
    <x v="87"/>
    <n v="0"/>
    <x v="5"/>
  </r>
  <r>
    <n v="1091"/>
    <x v="90"/>
    <x v="90"/>
    <d v="2023-01-28T07:44:47"/>
    <s v="Customer_235"/>
    <x v="3"/>
    <s v="Fast Food"/>
    <x v="4"/>
    <n v="3"/>
    <n v="584"/>
    <x v="88"/>
    <n v="7"/>
    <x v="6"/>
  </r>
  <r>
    <n v="1092"/>
    <x v="91"/>
    <x v="91"/>
    <d v="2023-01-28T15:01:57"/>
    <s v="Customer_74"/>
    <x v="0"/>
    <s v="Continental"/>
    <x v="5"/>
    <n v="1"/>
    <n v="473"/>
    <x v="89"/>
    <n v="15"/>
    <x v="0"/>
  </r>
  <r>
    <n v="1093"/>
    <x v="92"/>
    <x v="92"/>
    <d v="2023-01-28T22:19:07"/>
    <s v="Customer_136"/>
    <x v="1"/>
    <s v="Main Course"/>
    <x v="7"/>
    <n v="3"/>
    <n v="809"/>
    <x v="90"/>
    <n v="22"/>
    <x v="1"/>
  </r>
  <r>
    <n v="1094"/>
    <x v="93"/>
    <x v="93"/>
    <d v="2023-01-29T05:36:17"/>
    <s v="Customer_72"/>
    <x v="1"/>
    <s v="Continental"/>
    <x v="1"/>
    <n v="3"/>
    <n v="299"/>
    <x v="91"/>
    <n v="5"/>
    <x v="2"/>
  </r>
  <r>
    <n v="1095"/>
    <x v="94"/>
    <x v="94"/>
    <d v="2023-01-29T12:53:27"/>
    <s v="Customer_127"/>
    <x v="2"/>
    <s v="Asian"/>
    <x v="5"/>
    <n v="1"/>
    <n v="636"/>
    <x v="92"/>
    <n v="12"/>
    <x v="3"/>
  </r>
  <r>
    <n v="1096"/>
    <x v="95"/>
    <x v="95"/>
    <d v="2023-01-29T20:10:37"/>
    <s v="Customer_288"/>
    <x v="0"/>
    <s v="Healthy"/>
    <x v="0"/>
    <n v="3"/>
    <n v="565"/>
    <x v="93"/>
    <n v="20"/>
    <x v="4"/>
  </r>
  <r>
    <n v="1097"/>
    <x v="96"/>
    <x v="96"/>
    <d v="2023-01-30T03:27:46"/>
    <s v="Customer_276"/>
    <x v="1"/>
    <s v="Asian"/>
    <x v="1"/>
    <n v="5"/>
    <n v="188"/>
    <x v="94"/>
    <n v="3"/>
    <x v="5"/>
  </r>
  <r>
    <n v="1098"/>
    <x v="97"/>
    <x v="97"/>
    <d v="2023-01-30T10:44:56"/>
    <s v="Customer_135"/>
    <x v="0"/>
    <s v="Main Course"/>
    <x v="8"/>
    <n v="2"/>
    <n v="367"/>
    <x v="95"/>
    <n v="10"/>
    <x v="6"/>
  </r>
  <r>
    <n v="1099"/>
    <x v="98"/>
    <x v="98"/>
    <d v="2023-01-30T18:02:06"/>
    <s v="Customer_300"/>
    <x v="0"/>
    <s v="Main Course"/>
    <x v="9"/>
    <n v="2"/>
    <n v="754"/>
    <x v="96"/>
    <n v="18"/>
    <x v="0"/>
  </r>
  <r>
    <n v="1100"/>
    <x v="99"/>
    <x v="99"/>
    <d v="2023-01-31T01:19:16"/>
    <s v="Customer_220"/>
    <x v="1"/>
    <s v="Main Course"/>
    <x v="9"/>
    <n v="1"/>
    <n v="670"/>
    <x v="97"/>
    <n v="1"/>
    <x v="1"/>
  </r>
  <r>
    <n v="1101"/>
    <x v="100"/>
    <x v="100"/>
    <d v="2023-01-31T08:36:26"/>
    <s v="Customer_299"/>
    <x v="2"/>
    <s v="Healthy"/>
    <x v="4"/>
    <n v="4"/>
    <n v="588"/>
    <x v="98"/>
    <n v="8"/>
    <x v="2"/>
  </r>
  <r>
    <n v="1102"/>
    <x v="101"/>
    <x v="101"/>
    <d v="2023-01-31T15:53:36"/>
    <s v="Customer_205"/>
    <x v="2"/>
    <s v="Fast Food"/>
    <x v="2"/>
    <n v="1"/>
    <n v="976"/>
    <x v="99"/>
    <n v="15"/>
    <x v="3"/>
  </r>
  <r>
    <n v="1103"/>
    <x v="102"/>
    <x v="102"/>
    <d v="2023-01-31T23:10:46"/>
    <s v="Customer_186"/>
    <x v="2"/>
    <s v="Continental"/>
    <x v="1"/>
    <n v="4"/>
    <n v="637"/>
    <x v="100"/>
    <n v="23"/>
    <x v="4"/>
  </r>
  <r>
    <n v="1104"/>
    <x v="103"/>
    <x v="103"/>
    <d v="2023-02-01T06:27:55"/>
    <s v="Customer_113"/>
    <x v="3"/>
    <s v="Continental"/>
    <x v="6"/>
    <n v="2"/>
    <n v="146"/>
    <x v="101"/>
    <n v="6"/>
    <x v="5"/>
  </r>
  <r>
    <n v="1105"/>
    <x v="104"/>
    <x v="104"/>
    <d v="2023-02-01T13:45:05"/>
    <s v="Customer_71"/>
    <x v="1"/>
    <s v="Continental"/>
    <x v="3"/>
    <n v="1"/>
    <n v="387"/>
    <x v="102"/>
    <n v="13"/>
    <x v="6"/>
  </r>
  <r>
    <n v="1106"/>
    <x v="105"/>
    <x v="105"/>
    <d v="2023-02-01T21:02:15"/>
    <s v="Customer_261"/>
    <x v="3"/>
    <s v="Continental"/>
    <x v="9"/>
    <n v="5"/>
    <n v="877"/>
    <x v="103"/>
    <n v="21"/>
    <x v="0"/>
  </r>
  <r>
    <n v="1107"/>
    <x v="106"/>
    <x v="106"/>
    <d v="2023-02-02T04:19:25"/>
    <s v="Customer_253"/>
    <x v="3"/>
    <s v="Continental"/>
    <x v="2"/>
    <n v="3"/>
    <n v="115"/>
    <x v="104"/>
    <n v="4"/>
    <x v="1"/>
  </r>
  <r>
    <n v="1108"/>
    <x v="107"/>
    <x v="107"/>
    <d v="2023-02-02T11:36:35"/>
    <s v="Customer_47"/>
    <x v="3"/>
    <s v="Fast Food"/>
    <x v="9"/>
    <n v="4"/>
    <n v="810"/>
    <x v="105"/>
    <n v="11"/>
    <x v="2"/>
  </r>
  <r>
    <n v="1109"/>
    <x v="108"/>
    <x v="108"/>
    <d v="2023-02-02T18:53:45"/>
    <s v="Customer_25"/>
    <x v="0"/>
    <s v="Asian"/>
    <x v="7"/>
    <n v="3"/>
    <n v="500"/>
    <x v="106"/>
    <n v="18"/>
    <x v="3"/>
  </r>
  <r>
    <n v="1110"/>
    <x v="109"/>
    <x v="109"/>
    <d v="2023-02-03T02:10:55"/>
    <s v="Customer_57"/>
    <x v="0"/>
    <s v="Healthy"/>
    <x v="3"/>
    <n v="3"/>
    <n v="893"/>
    <x v="107"/>
    <n v="2"/>
    <x v="4"/>
  </r>
  <r>
    <n v="1111"/>
    <x v="110"/>
    <x v="110"/>
    <d v="2023-02-03T09:28:04"/>
    <s v="Customer_79"/>
    <x v="1"/>
    <s v="Asian"/>
    <x v="2"/>
    <n v="1"/>
    <n v="185"/>
    <x v="108"/>
    <n v="9"/>
    <x v="5"/>
  </r>
  <r>
    <n v="1112"/>
    <x v="111"/>
    <x v="111"/>
    <d v="2023-02-03T16:45:14"/>
    <s v="Customer_82"/>
    <x v="1"/>
    <s v="Asian"/>
    <x v="9"/>
    <n v="3"/>
    <n v="349"/>
    <x v="109"/>
    <n v="16"/>
    <x v="6"/>
  </r>
  <r>
    <n v="1113"/>
    <x v="112"/>
    <x v="112"/>
    <d v="2023-02-04T00:02:24"/>
    <s v="Customer_217"/>
    <x v="0"/>
    <s v="Continental"/>
    <x v="2"/>
    <n v="5"/>
    <n v="490"/>
    <x v="110"/>
    <n v="0"/>
    <x v="0"/>
  </r>
  <r>
    <n v="1114"/>
    <x v="113"/>
    <x v="113"/>
    <d v="2023-02-04T07:19:34"/>
    <s v="Customer_33"/>
    <x v="0"/>
    <s v="Continental"/>
    <x v="8"/>
    <n v="3"/>
    <n v="881"/>
    <x v="111"/>
    <n v="7"/>
    <x v="1"/>
  </r>
  <r>
    <n v="1115"/>
    <x v="114"/>
    <x v="114"/>
    <d v="2023-02-04T14:36:44"/>
    <s v="Customer_198"/>
    <x v="3"/>
    <s v="Fast Food"/>
    <x v="8"/>
    <n v="1"/>
    <n v="434"/>
    <x v="112"/>
    <n v="14"/>
    <x v="2"/>
  </r>
  <r>
    <n v="1116"/>
    <x v="115"/>
    <x v="115"/>
    <d v="2023-02-04T21:53:54"/>
    <s v="Customer_196"/>
    <x v="2"/>
    <s v="Healthy"/>
    <x v="3"/>
    <n v="5"/>
    <n v="728"/>
    <x v="113"/>
    <n v="21"/>
    <x v="3"/>
  </r>
  <r>
    <n v="1117"/>
    <x v="116"/>
    <x v="116"/>
    <d v="2023-02-05T05:11:04"/>
    <s v="Customer_240"/>
    <x v="2"/>
    <s v="Main Course"/>
    <x v="0"/>
    <n v="2"/>
    <n v="618"/>
    <x v="114"/>
    <n v="5"/>
    <x v="4"/>
  </r>
  <r>
    <n v="1118"/>
    <x v="117"/>
    <x v="117"/>
    <d v="2023-02-05T12:28:13"/>
    <s v="Customer_271"/>
    <x v="2"/>
    <s v="Asian"/>
    <x v="4"/>
    <n v="3"/>
    <n v="236"/>
    <x v="115"/>
    <n v="12"/>
    <x v="5"/>
  </r>
  <r>
    <n v="1119"/>
    <x v="118"/>
    <x v="118"/>
    <d v="2023-02-05T19:45:23"/>
    <s v="Customer_129"/>
    <x v="2"/>
    <s v="Main Course"/>
    <x v="9"/>
    <n v="1"/>
    <n v="982"/>
    <x v="116"/>
    <n v="19"/>
    <x v="6"/>
  </r>
  <r>
    <n v="1120"/>
    <x v="119"/>
    <x v="119"/>
    <d v="2023-02-06T03:02:33"/>
    <s v="Customer_284"/>
    <x v="2"/>
    <s v="Healthy"/>
    <x v="6"/>
    <n v="2"/>
    <n v="787"/>
    <x v="117"/>
    <n v="3"/>
    <x v="0"/>
  </r>
  <r>
    <n v="1121"/>
    <x v="120"/>
    <x v="120"/>
    <d v="2023-02-06T10:19:43"/>
    <s v="Customer_6"/>
    <x v="3"/>
    <s v="Asian"/>
    <x v="9"/>
    <n v="2"/>
    <n v="939"/>
    <x v="118"/>
    <n v="10"/>
    <x v="1"/>
  </r>
  <r>
    <n v="1122"/>
    <x v="121"/>
    <x v="121"/>
    <d v="2023-02-06T17:36:53"/>
    <s v="Customer_59"/>
    <x v="1"/>
    <s v="Main Course"/>
    <x v="3"/>
    <n v="4"/>
    <n v="597"/>
    <x v="119"/>
    <n v="17"/>
    <x v="2"/>
  </r>
  <r>
    <n v="1123"/>
    <x v="122"/>
    <x v="122"/>
    <d v="2023-02-07T00:54:03"/>
    <s v="Customer_275"/>
    <x v="0"/>
    <s v="Main Course"/>
    <x v="7"/>
    <n v="5"/>
    <n v="926"/>
    <x v="120"/>
    <n v="0"/>
    <x v="3"/>
  </r>
  <r>
    <n v="1124"/>
    <x v="123"/>
    <x v="123"/>
    <d v="2023-02-07T08:11:13"/>
    <s v="Customer_137"/>
    <x v="3"/>
    <s v="Fast Food"/>
    <x v="9"/>
    <n v="3"/>
    <n v="826"/>
    <x v="87"/>
    <n v="8"/>
    <x v="4"/>
  </r>
  <r>
    <n v="1125"/>
    <x v="124"/>
    <x v="124"/>
    <d v="2023-02-07T15:28:22"/>
    <s v="Customer_175"/>
    <x v="2"/>
    <s v="Healthy"/>
    <x v="6"/>
    <n v="1"/>
    <n v="576"/>
    <x v="121"/>
    <n v="15"/>
    <x v="5"/>
  </r>
  <r>
    <n v="1126"/>
    <x v="125"/>
    <x v="125"/>
    <d v="2023-02-07T22:45:32"/>
    <s v="Customer_58"/>
    <x v="0"/>
    <s v="Healthy"/>
    <x v="1"/>
    <n v="4"/>
    <n v="693"/>
    <x v="122"/>
    <n v="22"/>
    <x v="6"/>
  </r>
  <r>
    <n v="1127"/>
    <x v="126"/>
    <x v="126"/>
    <d v="2023-02-08T06:02:42"/>
    <s v="Customer_151"/>
    <x v="3"/>
    <s v="Healthy"/>
    <x v="1"/>
    <n v="5"/>
    <n v="322"/>
    <x v="123"/>
    <n v="6"/>
    <x v="0"/>
  </r>
  <r>
    <n v="1128"/>
    <x v="127"/>
    <x v="127"/>
    <d v="2023-02-08T13:19:52"/>
    <s v="Customer_223"/>
    <x v="2"/>
    <s v="Asian"/>
    <x v="1"/>
    <n v="4"/>
    <n v="471"/>
    <x v="124"/>
    <n v="13"/>
    <x v="1"/>
  </r>
  <r>
    <n v="1129"/>
    <x v="128"/>
    <x v="128"/>
    <d v="2023-02-08T20:37:02"/>
    <s v="Customer_81"/>
    <x v="3"/>
    <s v="Fast Food"/>
    <x v="1"/>
    <n v="5"/>
    <n v="501"/>
    <x v="125"/>
    <n v="20"/>
    <x v="2"/>
  </r>
  <r>
    <n v="1130"/>
    <x v="129"/>
    <x v="129"/>
    <d v="2023-02-09T03:54:12"/>
    <s v="Customer_233"/>
    <x v="0"/>
    <s v="Continental"/>
    <x v="3"/>
    <n v="5"/>
    <n v="542"/>
    <x v="126"/>
    <n v="3"/>
    <x v="3"/>
  </r>
  <r>
    <n v="1131"/>
    <x v="130"/>
    <x v="130"/>
    <d v="2023-02-09T11:11:22"/>
    <s v="Customer_2"/>
    <x v="1"/>
    <s v="Asian"/>
    <x v="1"/>
    <n v="3"/>
    <n v="589"/>
    <x v="127"/>
    <n v="11"/>
    <x v="4"/>
  </r>
  <r>
    <n v="1132"/>
    <x v="131"/>
    <x v="131"/>
    <d v="2023-02-09T18:28:31"/>
    <s v="Customer_135"/>
    <x v="2"/>
    <s v="Healthy"/>
    <x v="8"/>
    <n v="5"/>
    <n v="714"/>
    <x v="128"/>
    <n v="18"/>
    <x v="5"/>
  </r>
  <r>
    <n v="1133"/>
    <x v="132"/>
    <x v="132"/>
    <d v="2023-02-10T01:45:41"/>
    <s v="Customer_257"/>
    <x v="0"/>
    <s v="Asian"/>
    <x v="8"/>
    <n v="4"/>
    <n v="372"/>
    <x v="129"/>
    <n v="1"/>
    <x v="6"/>
  </r>
  <r>
    <n v="1134"/>
    <x v="133"/>
    <x v="133"/>
    <d v="2023-02-10T09:02:51"/>
    <s v="Customer_92"/>
    <x v="0"/>
    <s v="Main Course"/>
    <x v="5"/>
    <n v="5"/>
    <n v="625"/>
    <x v="130"/>
    <n v="9"/>
    <x v="0"/>
  </r>
  <r>
    <n v="1135"/>
    <x v="134"/>
    <x v="134"/>
    <d v="2023-02-10T16:20:01"/>
    <s v="Customer_260"/>
    <x v="1"/>
    <s v="Asian"/>
    <x v="4"/>
    <n v="3"/>
    <n v="258"/>
    <x v="131"/>
    <n v="16"/>
    <x v="1"/>
  </r>
  <r>
    <n v="1136"/>
    <x v="135"/>
    <x v="135"/>
    <d v="2023-02-10T23:37:11"/>
    <s v="Customer_55"/>
    <x v="3"/>
    <s v="Asian"/>
    <x v="2"/>
    <n v="3"/>
    <n v="251"/>
    <x v="132"/>
    <n v="23"/>
    <x v="2"/>
  </r>
  <r>
    <n v="1137"/>
    <x v="136"/>
    <x v="136"/>
    <d v="2023-02-11T06:54:21"/>
    <s v="Customer_153"/>
    <x v="1"/>
    <s v="Healthy"/>
    <x v="8"/>
    <n v="4"/>
    <n v="719"/>
    <x v="133"/>
    <n v="6"/>
    <x v="3"/>
  </r>
  <r>
    <n v="1138"/>
    <x v="137"/>
    <x v="137"/>
    <d v="2023-02-11T14:11:31"/>
    <s v="Customer_260"/>
    <x v="1"/>
    <s v="Main Course"/>
    <x v="2"/>
    <n v="2"/>
    <n v="287"/>
    <x v="134"/>
    <n v="14"/>
    <x v="4"/>
  </r>
  <r>
    <n v="1139"/>
    <x v="138"/>
    <x v="138"/>
    <d v="2023-02-11T21:28:40"/>
    <s v="Customer_102"/>
    <x v="3"/>
    <s v="Healthy"/>
    <x v="5"/>
    <n v="2"/>
    <n v="912"/>
    <x v="135"/>
    <n v="21"/>
    <x v="5"/>
  </r>
  <r>
    <n v="1140"/>
    <x v="139"/>
    <x v="139"/>
    <d v="2023-02-12T04:45:50"/>
    <s v="Customer_79"/>
    <x v="3"/>
    <s v="Main Course"/>
    <x v="4"/>
    <n v="5"/>
    <n v="197"/>
    <x v="136"/>
    <n v="4"/>
    <x v="6"/>
  </r>
  <r>
    <n v="1141"/>
    <x v="140"/>
    <x v="140"/>
    <d v="2023-02-12T12:03:00"/>
    <s v="Customer_192"/>
    <x v="3"/>
    <s v="Main Course"/>
    <x v="8"/>
    <n v="1"/>
    <n v="230"/>
    <x v="137"/>
    <n v="12"/>
    <x v="0"/>
  </r>
  <r>
    <n v="1142"/>
    <x v="141"/>
    <x v="141"/>
    <d v="2023-02-12T19:20:10"/>
    <s v="Customer_83"/>
    <x v="0"/>
    <s v="Main Course"/>
    <x v="8"/>
    <n v="5"/>
    <n v="904"/>
    <x v="138"/>
    <n v="19"/>
    <x v="1"/>
  </r>
  <r>
    <n v="1143"/>
    <x v="142"/>
    <x v="142"/>
    <d v="2023-02-13T02:37:20"/>
    <s v="Customer_277"/>
    <x v="0"/>
    <s v="Healthy"/>
    <x v="4"/>
    <n v="4"/>
    <n v="270"/>
    <x v="139"/>
    <n v="2"/>
    <x v="2"/>
  </r>
  <r>
    <n v="1144"/>
    <x v="143"/>
    <x v="143"/>
    <d v="2023-02-13T09:54:30"/>
    <s v="Customer_272"/>
    <x v="2"/>
    <s v="Main Course"/>
    <x v="4"/>
    <n v="4"/>
    <n v="282"/>
    <x v="140"/>
    <n v="9"/>
    <x v="3"/>
  </r>
  <r>
    <n v="1145"/>
    <x v="144"/>
    <x v="144"/>
    <d v="2023-02-13T17:11:40"/>
    <s v="Customer_1"/>
    <x v="2"/>
    <s v="Fast Food"/>
    <x v="2"/>
    <n v="4"/>
    <n v="463"/>
    <x v="141"/>
    <n v="17"/>
    <x v="4"/>
  </r>
  <r>
    <n v="1146"/>
    <x v="145"/>
    <x v="145"/>
    <d v="2023-02-14T00:28:49"/>
    <s v="Customer_166"/>
    <x v="1"/>
    <s v="Fast Food"/>
    <x v="0"/>
    <n v="4"/>
    <n v="138"/>
    <x v="142"/>
    <n v="0"/>
    <x v="5"/>
  </r>
  <r>
    <n v="1147"/>
    <x v="146"/>
    <x v="146"/>
    <d v="2023-02-14T07:45:59"/>
    <s v="Customer_251"/>
    <x v="1"/>
    <s v="Continental"/>
    <x v="9"/>
    <n v="4"/>
    <n v="626"/>
    <x v="143"/>
    <n v="7"/>
    <x v="6"/>
  </r>
  <r>
    <n v="1148"/>
    <x v="147"/>
    <x v="147"/>
    <d v="2023-02-14T15:03:09"/>
    <s v="Customer_10"/>
    <x v="2"/>
    <s v="Fast Food"/>
    <x v="7"/>
    <n v="3"/>
    <n v="987"/>
    <x v="144"/>
    <n v="15"/>
    <x v="0"/>
  </r>
  <r>
    <n v="1149"/>
    <x v="148"/>
    <x v="148"/>
    <d v="2023-02-14T22:20:19"/>
    <s v="Customer_58"/>
    <x v="1"/>
    <s v="Continental"/>
    <x v="1"/>
    <n v="2"/>
    <n v="596"/>
    <x v="145"/>
    <n v="22"/>
    <x v="1"/>
  </r>
  <r>
    <n v="1150"/>
    <x v="149"/>
    <x v="149"/>
    <d v="2023-02-15T05:37:29"/>
    <s v="Customer_186"/>
    <x v="3"/>
    <s v="Fast Food"/>
    <x v="5"/>
    <n v="4"/>
    <n v="615"/>
    <x v="146"/>
    <n v="5"/>
    <x v="2"/>
  </r>
  <r>
    <n v="1151"/>
    <x v="150"/>
    <x v="150"/>
    <d v="2023-02-15T12:54:39"/>
    <s v="Customer_158"/>
    <x v="0"/>
    <s v="Healthy"/>
    <x v="6"/>
    <n v="1"/>
    <n v="448"/>
    <x v="147"/>
    <n v="12"/>
    <x v="3"/>
  </r>
  <r>
    <n v="1152"/>
    <x v="151"/>
    <x v="151"/>
    <d v="2023-02-15T20:11:49"/>
    <s v="Customer_123"/>
    <x v="2"/>
    <s v="Continental"/>
    <x v="0"/>
    <n v="1"/>
    <n v="496"/>
    <x v="56"/>
    <n v="20"/>
    <x v="4"/>
  </r>
  <r>
    <n v="1153"/>
    <x v="152"/>
    <x v="152"/>
    <d v="2023-02-16T03:28:58"/>
    <s v="Customer_30"/>
    <x v="0"/>
    <s v="Asian"/>
    <x v="9"/>
    <n v="1"/>
    <n v="821"/>
    <x v="148"/>
    <n v="3"/>
    <x v="5"/>
  </r>
  <r>
    <n v="1154"/>
    <x v="153"/>
    <x v="153"/>
    <d v="2023-02-16T10:46:08"/>
    <s v="Customer_124"/>
    <x v="2"/>
    <s v="Asian"/>
    <x v="7"/>
    <n v="1"/>
    <n v="260"/>
    <x v="149"/>
    <n v="10"/>
    <x v="6"/>
  </r>
  <r>
    <n v="1155"/>
    <x v="154"/>
    <x v="154"/>
    <d v="2023-02-16T18:03:18"/>
    <s v="Customer_291"/>
    <x v="0"/>
    <s v="Fast Food"/>
    <x v="8"/>
    <n v="3"/>
    <n v="115"/>
    <x v="104"/>
    <n v="18"/>
    <x v="0"/>
  </r>
  <r>
    <n v="1156"/>
    <x v="155"/>
    <x v="155"/>
    <d v="2023-02-17T01:20:28"/>
    <s v="Customer_41"/>
    <x v="2"/>
    <s v="Asian"/>
    <x v="0"/>
    <n v="1"/>
    <n v="592"/>
    <x v="150"/>
    <n v="1"/>
    <x v="1"/>
  </r>
  <r>
    <n v="1157"/>
    <x v="156"/>
    <x v="156"/>
    <d v="2023-02-17T08:37:38"/>
    <s v="Customer_44"/>
    <x v="0"/>
    <s v="Fast Food"/>
    <x v="0"/>
    <n v="4"/>
    <n v="525"/>
    <x v="151"/>
    <n v="8"/>
    <x v="2"/>
  </r>
  <r>
    <n v="1158"/>
    <x v="157"/>
    <x v="157"/>
    <d v="2023-02-17T15:54:48"/>
    <s v="Customer_249"/>
    <x v="3"/>
    <s v="Fast Food"/>
    <x v="3"/>
    <n v="5"/>
    <n v="207"/>
    <x v="152"/>
    <n v="15"/>
    <x v="3"/>
  </r>
  <r>
    <n v="1159"/>
    <x v="158"/>
    <x v="158"/>
    <d v="2023-02-17T23:11:58"/>
    <s v="Customer_36"/>
    <x v="2"/>
    <s v="Asian"/>
    <x v="5"/>
    <n v="1"/>
    <n v="993"/>
    <x v="153"/>
    <n v="23"/>
    <x v="4"/>
  </r>
  <r>
    <n v="1160"/>
    <x v="159"/>
    <x v="159"/>
    <d v="2023-02-18T06:29:07"/>
    <s v="Customer_273"/>
    <x v="2"/>
    <s v="Asian"/>
    <x v="6"/>
    <n v="3"/>
    <n v="549"/>
    <x v="154"/>
    <n v="6"/>
    <x v="5"/>
  </r>
  <r>
    <n v="1161"/>
    <x v="160"/>
    <x v="160"/>
    <d v="2023-02-18T13:46:17"/>
    <s v="Customer_65"/>
    <x v="2"/>
    <s v="Main Course"/>
    <x v="5"/>
    <n v="3"/>
    <n v="410"/>
    <x v="155"/>
    <n v="13"/>
    <x v="6"/>
  </r>
  <r>
    <n v="1162"/>
    <x v="161"/>
    <x v="161"/>
    <d v="2023-02-18T21:03:27"/>
    <s v="Customer_66"/>
    <x v="3"/>
    <s v="Continental"/>
    <x v="2"/>
    <n v="1"/>
    <n v="838"/>
    <x v="38"/>
    <n v="21"/>
    <x v="0"/>
  </r>
  <r>
    <n v="1163"/>
    <x v="162"/>
    <x v="162"/>
    <d v="2023-02-19T04:20:37"/>
    <s v="Customer_244"/>
    <x v="0"/>
    <s v="Fast Food"/>
    <x v="1"/>
    <n v="5"/>
    <n v="269"/>
    <x v="156"/>
    <n v="4"/>
    <x v="1"/>
  </r>
  <r>
    <n v="1164"/>
    <x v="163"/>
    <x v="163"/>
    <d v="2023-02-19T11:37:47"/>
    <s v="Customer_282"/>
    <x v="2"/>
    <s v="Asian"/>
    <x v="9"/>
    <n v="1"/>
    <n v="645"/>
    <x v="157"/>
    <n v="11"/>
    <x v="2"/>
  </r>
  <r>
    <n v="1165"/>
    <x v="164"/>
    <x v="164"/>
    <d v="2023-02-19T18:54:57"/>
    <s v="Customer_85"/>
    <x v="0"/>
    <s v="Continental"/>
    <x v="2"/>
    <n v="3"/>
    <n v="513"/>
    <x v="158"/>
    <n v="18"/>
    <x v="3"/>
  </r>
  <r>
    <n v="1166"/>
    <x v="165"/>
    <x v="165"/>
    <d v="2023-02-20T02:12:07"/>
    <s v="Customer_136"/>
    <x v="3"/>
    <s v="Asian"/>
    <x v="3"/>
    <n v="2"/>
    <n v="350"/>
    <x v="159"/>
    <n v="2"/>
    <x v="4"/>
  </r>
  <r>
    <n v="1167"/>
    <x v="166"/>
    <x v="166"/>
    <d v="2023-02-20T09:29:16"/>
    <s v="Customer_271"/>
    <x v="1"/>
    <s v="Asian"/>
    <x v="2"/>
    <n v="4"/>
    <n v="858"/>
    <x v="160"/>
    <n v="9"/>
    <x v="5"/>
  </r>
  <r>
    <n v="1168"/>
    <x v="167"/>
    <x v="167"/>
    <d v="2023-02-20T16:46:26"/>
    <s v="Customer_217"/>
    <x v="2"/>
    <s v="Main Course"/>
    <x v="4"/>
    <n v="3"/>
    <n v="880"/>
    <x v="161"/>
    <n v="16"/>
    <x v="6"/>
  </r>
  <r>
    <n v="1169"/>
    <x v="168"/>
    <x v="168"/>
    <d v="2023-02-21T00:03:36"/>
    <s v="Customer_109"/>
    <x v="3"/>
    <s v="Fast Food"/>
    <x v="9"/>
    <n v="1"/>
    <n v="240"/>
    <x v="162"/>
    <n v="0"/>
    <x v="0"/>
  </r>
  <r>
    <n v="1170"/>
    <x v="169"/>
    <x v="169"/>
    <d v="2023-02-21T07:20:46"/>
    <s v="Customer_277"/>
    <x v="0"/>
    <s v="Fast Food"/>
    <x v="1"/>
    <n v="4"/>
    <n v="373"/>
    <x v="163"/>
    <n v="7"/>
    <x v="1"/>
  </r>
  <r>
    <n v="1171"/>
    <x v="170"/>
    <x v="170"/>
    <d v="2023-02-21T14:37:56"/>
    <s v="Customer_103"/>
    <x v="2"/>
    <s v="Healthy"/>
    <x v="8"/>
    <n v="1"/>
    <n v="515"/>
    <x v="164"/>
    <n v="14"/>
    <x v="2"/>
  </r>
  <r>
    <n v="1172"/>
    <x v="171"/>
    <x v="171"/>
    <d v="2023-02-21T21:55:06"/>
    <s v="Customer_160"/>
    <x v="0"/>
    <s v="Main Course"/>
    <x v="4"/>
    <n v="1"/>
    <n v="707"/>
    <x v="165"/>
    <n v="21"/>
    <x v="3"/>
  </r>
  <r>
    <n v="1173"/>
    <x v="172"/>
    <x v="172"/>
    <d v="2023-02-22T05:12:16"/>
    <s v="Customer_205"/>
    <x v="1"/>
    <s v="Continental"/>
    <x v="4"/>
    <n v="2"/>
    <n v="838"/>
    <x v="166"/>
    <n v="5"/>
    <x v="4"/>
  </r>
  <r>
    <n v="1174"/>
    <x v="173"/>
    <x v="173"/>
    <d v="2023-02-22T12:29:25"/>
    <s v="Customer_192"/>
    <x v="2"/>
    <s v="Main Course"/>
    <x v="9"/>
    <n v="4"/>
    <n v="990"/>
    <x v="167"/>
    <n v="12"/>
    <x v="5"/>
  </r>
  <r>
    <n v="1175"/>
    <x v="174"/>
    <x v="174"/>
    <d v="2023-02-22T19:46:35"/>
    <s v="Customer_225"/>
    <x v="2"/>
    <s v="Continental"/>
    <x v="4"/>
    <n v="4"/>
    <n v="138"/>
    <x v="142"/>
    <n v="19"/>
    <x v="6"/>
  </r>
  <r>
    <n v="1176"/>
    <x v="175"/>
    <x v="175"/>
    <d v="2023-02-23T03:03:45"/>
    <s v="Customer_265"/>
    <x v="0"/>
    <s v="Fast Food"/>
    <x v="8"/>
    <n v="2"/>
    <n v="913"/>
    <x v="168"/>
    <n v="3"/>
    <x v="0"/>
  </r>
  <r>
    <n v="1177"/>
    <x v="176"/>
    <x v="176"/>
    <d v="2023-02-23T10:20:55"/>
    <s v="Customer_232"/>
    <x v="2"/>
    <s v="Healthy"/>
    <x v="6"/>
    <n v="3"/>
    <n v="128"/>
    <x v="11"/>
    <n v="10"/>
    <x v="1"/>
  </r>
  <r>
    <n v="1178"/>
    <x v="177"/>
    <x v="177"/>
    <d v="2023-02-23T17:38:05"/>
    <s v="Customer_62"/>
    <x v="3"/>
    <s v="Healthy"/>
    <x v="5"/>
    <n v="1"/>
    <n v="576"/>
    <x v="121"/>
    <n v="17"/>
    <x v="2"/>
  </r>
  <r>
    <n v="1179"/>
    <x v="178"/>
    <x v="178"/>
    <d v="2023-02-24T00:55:15"/>
    <s v="Customer_127"/>
    <x v="3"/>
    <s v="Fast Food"/>
    <x v="9"/>
    <n v="5"/>
    <n v="417"/>
    <x v="80"/>
    <n v="0"/>
    <x v="3"/>
  </r>
  <r>
    <n v="1180"/>
    <x v="179"/>
    <x v="179"/>
    <d v="2023-02-24T08:12:25"/>
    <s v="Customer_116"/>
    <x v="1"/>
    <s v="Asian"/>
    <x v="7"/>
    <n v="1"/>
    <n v="344"/>
    <x v="169"/>
    <n v="8"/>
    <x v="4"/>
  </r>
  <r>
    <n v="1181"/>
    <x v="180"/>
    <x v="180"/>
    <d v="2023-02-24T15:29:34"/>
    <s v="Customer_33"/>
    <x v="3"/>
    <s v="Main Course"/>
    <x v="2"/>
    <n v="1"/>
    <n v="847"/>
    <x v="170"/>
    <n v="15"/>
    <x v="5"/>
  </r>
  <r>
    <n v="1182"/>
    <x v="181"/>
    <x v="181"/>
    <d v="2023-02-24T22:46:44"/>
    <s v="Customer_174"/>
    <x v="1"/>
    <s v="Healthy"/>
    <x v="8"/>
    <n v="3"/>
    <n v="796"/>
    <x v="119"/>
    <n v="22"/>
    <x v="6"/>
  </r>
  <r>
    <n v="1183"/>
    <x v="182"/>
    <x v="182"/>
    <d v="2023-02-25T06:03:54"/>
    <s v="Customer_11"/>
    <x v="0"/>
    <s v="Asian"/>
    <x v="1"/>
    <n v="1"/>
    <n v="371"/>
    <x v="171"/>
    <n v="6"/>
    <x v="0"/>
  </r>
  <r>
    <n v="1184"/>
    <x v="183"/>
    <x v="183"/>
    <d v="2023-02-25T13:21:04"/>
    <s v="Customer_284"/>
    <x v="0"/>
    <s v="Continental"/>
    <x v="0"/>
    <n v="2"/>
    <n v="539"/>
    <x v="172"/>
    <n v="13"/>
    <x v="1"/>
  </r>
  <r>
    <n v="1185"/>
    <x v="184"/>
    <x v="184"/>
    <d v="2023-02-25T20:38:14"/>
    <s v="Customer_118"/>
    <x v="1"/>
    <s v="Healthy"/>
    <x v="5"/>
    <n v="2"/>
    <n v="847"/>
    <x v="173"/>
    <n v="20"/>
    <x v="2"/>
  </r>
  <r>
    <n v="1186"/>
    <x v="185"/>
    <x v="185"/>
    <d v="2023-02-26T03:55:24"/>
    <s v="Customer_113"/>
    <x v="3"/>
    <s v="Continental"/>
    <x v="6"/>
    <n v="4"/>
    <n v="338"/>
    <x v="174"/>
    <n v="3"/>
    <x v="3"/>
  </r>
  <r>
    <n v="1187"/>
    <x v="186"/>
    <x v="186"/>
    <d v="2023-02-26T11:12:34"/>
    <s v="Customer_4"/>
    <x v="3"/>
    <s v="Asian"/>
    <x v="8"/>
    <n v="5"/>
    <n v="476"/>
    <x v="175"/>
    <n v="11"/>
    <x v="4"/>
  </r>
  <r>
    <n v="1188"/>
    <x v="187"/>
    <x v="187"/>
    <d v="2023-02-26T18:29:43"/>
    <s v="Customer_37"/>
    <x v="1"/>
    <s v="Continental"/>
    <x v="6"/>
    <n v="1"/>
    <n v="365"/>
    <x v="176"/>
    <n v="18"/>
    <x v="5"/>
  </r>
  <r>
    <n v="1189"/>
    <x v="188"/>
    <x v="188"/>
    <d v="2023-02-27T01:46:53"/>
    <s v="Customer_31"/>
    <x v="1"/>
    <s v="Asian"/>
    <x v="8"/>
    <n v="1"/>
    <n v="458"/>
    <x v="177"/>
    <n v="1"/>
    <x v="6"/>
  </r>
  <r>
    <n v="1190"/>
    <x v="189"/>
    <x v="189"/>
    <d v="2023-02-27T09:04:03"/>
    <s v="Customer_118"/>
    <x v="0"/>
    <s v="Continental"/>
    <x v="7"/>
    <n v="3"/>
    <n v="439"/>
    <x v="178"/>
    <n v="9"/>
    <x v="0"/>
  </r>
  <r>
    <n v="1191"/>
    <x v="190"/>
    <x v="190"/>
    <d v="2023-02-27T16:21:13"/>
    <s v="Customer_35"/>
    <x v="1"/>
    <s v="Main Course"/>
    <x v="8"/>
    <n v="2"/>
    <n v="488"/>
    <x v="99"/>
    <n v="16"/>
    <x v="1"/>
  </r>
  <r>
    <n v="1192"/>
    <x v="191"/>
    <x v="191"/>
    <d v="2023-02-27T23:38:23"/>
    <s v="Customer_17"/>
    <x v="3"/>
    <s v="Healthy"/>
    <x v="8"/>
    <n v="5"/>
    <n v="676"/>
    <x v="179"/>
    <n v="23"/>
    <x v="2"/>
  </r>
  <r>
    <n v="1193"/>
    <x v="192"/>
    <x v="192"/>
    <d v="2023-02-28T06:55:33"/>
    <s v="Customer_170"/>
    <x v="1"/>
    <s v="Healthy"/>
    <x v="7"/>
    <n v="4"/>
    <n v="788"/>
    <x v="180"/>
    <n v="6"/>
    <x v="3"/>
  </r>
  <r>
    <n v="1194"/>
    <x v="193"/>
    <x v="193"/>
    <d v="2023-02-28T14:12:43"/>
    <s v="Customer_37"/>
    <x v="1"/>
    <s v="Asian"/>
    <x v="1"/>
    <n v="2"/>
    <n v="102"/>
    <x v="181"/>
    <n v="14"/>
    <x v="4"/>
  </r>
  <r>
    <n v="1195"/>
    <x v="194"/>
    <x v="194"/>
    <d v="2023-02-28T21:29:52"/>
    <s v="Customer_264"/>
    <x v="1"/>
    <s v="Continental"/>
    <x v="3"/>
    <n v="4"/>
    <n v="528"/>
    <x v="182"/>
    <n v="21"/>
    <x v="5"/>
  </r>
  <r>
    <n v="1196"/>
    <x v="195"/>
    <x v="195"/>
    <d v="2023-03-01T04:47:02"/>
    <s v="Customer_122"/>
    <x v="0"/>
    <s v="Fast Food"/>
    <x v="1"/>
    <n v="3"/>
    <n v="241"/>
    <x v="183"/>
    <n v="4"/>
    <x v="6"/>
  </r>
  <r>
    <n v="1197"/>
    <x v="196"/>
    <x v="196"/>
    <d v="2023-03-01T12:04:12"/>
    <s v="Customer_143"/>
    <x v="1"/>
    <s v="Healthy"/>
    <x v="7"/>
    <n v="3"/>
    <n v="475"/>
    <x v="184"/>
    <n v="12"/>
    <x v="0"/>
  </r>
  <r>
    <n v="1198"/>
    <x v="197"/>
    <x v="197"/>
    <d v="2023-03-01T19:21:22"/>
    <s v="Customer_249"/>
    <x v="2"/>
    <s v="Continental"/>
    <x v="5"/>
    <n v="1"/>
    <n v="769"/>
    <x v="185"/>
    <n v="19"/>
    <x v="1"/>
  </r>
  <r>
    <n v="1199"/>
    <x v="198"/>
    <x v="198"/>
    <d v="2023-03-02T02:38:32"/>
    <s v="Customer_110"/>
    <x v="2"/>
    <s v="Continental"/>
    <x v="0"/>
    <n v="5"/>
    <n v="423"/>
    <x v="186"/>
    <n v="2"/>
    <x v="2"/>
  </r>
  <r>
    <n v="1200"/>
    <x v="199"/>
    <x v="199"/>
    <d v="2023-03-02T09:55:42"/>
    <s v="Customer_277"/>
    <x v="2"/>
    <s v="Main Course"/>
    <x v="3"/>
    <n v="4"/>
    <n v="245"/>
    <x v="187"/>
    <n v="9"/>
    <x v="3"/>
  </r>
  <r>
    <n v="1201"/>
    <x v="200"/>
    <x v="200"/>
    <d v="2023-03-02T17:12:52"/>
    <s v="Customer_68"/>
    <x v="3"/>
    <s v="Fast Food"/>
    <x v="9"/>
    <n v="2"/>
    <n v="392"/>
    <x v="188"/>
    <n v="17"/>
    <x v="4"/>
  </r>
  <r>
    <n v="1202"/>
    <x v="201"/>
    <x v="201"/>
    <d v="2023-03-03T00:30:02"/>
    <s v="Customer_293"/>
    <x v="3"/>
    <s v="Healthy"/>
    <x v="4"/>
    <n v="3"/>
    <n v="764"/>
    <x v="189"/>
    <n v="0"/>
    <x v="5"/>
  </r>
  <r>
    <n v="1203"/>
    <x v="202"/>
    <x v="202"/>
    <d v="2023-03-03T07:47:11"/>
    <s v="Customer_296"/>
    <x v="1"/>
    <s v="Main Course"/>
    <x v="8"/>
    <n v="1"/>
    <n v="531"/>
    <x v="190"/>
    <n v="7"/>
    <x v="6"/>
  </r>
  <r>
    <n v="1204"/>
    <x v="203"/>
    <x v="203"/>
    <d v="2023-03-03T15:04:21"/>
    <s v="Customer_243"/>
    <x v="2"/>
    <s v="Fast Food"/>
    <x v="0"/>
    <n v="1"/>
    <n v="804"/>
    <x v="66"/>
    <n v="15"/>
    <x v="0"/>
  </r>
  <r>
    <n v="1205"/>
    <x v="204"/>
    <x v="204"/>
    <d v="2023-03-03T22:21:31"/>
    <s v="Customer_125"/>
    <x v="0"/>
    <s v="Healthy"/>
    <x v="1"/>
    <n v="4"/>
    <n v="684"/>
    <x v="191"/>
    <n v="22"/>
    <x v="1"/>
  </r>
  <r>
    <n v="1206"/>
    <x v="205"/>
    <x v="205"/>
    <d v="2023-03-04T05:38:41"/>
    <s v="Customer_243"/>
    <x v="2"/>
    <s v="Main Course"/>
    <x v="7"/>
    <n v="3"/>
    <n v="498"/>
    <x v="192"/>
    <n v="5"/>
    <x v="2"/>
  </r>
  <r>
    <n v="1207"/>
    <x v="206"/>
    <x v="206"/>
    <d v="2023-03-04T12:55:51"/>
    <s v="Customer_209"/>
    <x v="2"/>
    <s v="Fast Food"/>
    <x v="5"/>
    <n v="5"/>
    <n v="916"/>
    <x v="72"/>
    <n v="12"/>
    <x v="3"/>
  </r>
  <r>
    <n v="1208"/>
    <x v="207"/>
    <x v="207"/>
    <d v="2023-03-04T20:13:01"/>
    <s v="Customer_98"/>
    <x v="3"/>
    <s v="Healthy"/>
    <x v="0"/>
    <n v="3"/>
    <n v="988"/>
    <x v="193"/>
    <n v="20"/>
    <x v="4"/>
  </r>
  <r>
    <n v="1209"/>
    <x v="208"/>
    <x v="208"/>
    <d v="2023-03-05T03:30:11"/>
    <s v="Customer_49"/>
    <x v="3"/>
    <s v="Fast Food"/>
    <x v="6"/>
    <n v="4"/>
    <n v="443"/>
    <x v="194"/>
    <n v="3"/>
    <x v="5"/>
  </r>
  <r>
    <n v="1210"/>
    <x v="209"/>
    <x v="209"/>
    <d v="2023-03-05T10:47:20"/>
    <s v="Customer_50"/>
    <x v="0"/>
    <s v="Continental"/>
    <x v="6"/>
    <n v="4"/>
    <n v="239"/>
    <x v="195"/>
    <n v="10"/>
    <x v="6"/>
  </r>
  <r>
    <n v="1211"/>
    <x v="210"/>
    <x v="210"/>
    <d v="2023-03-05T18:04:30"/>
    <s v="Customer_221"/>
    <x v="3"/>
    <s v="Asian"/>
    <x v="9"/>
    <n v="3"/>
    <n v="286"/>
    <x v="196"/>
    <n v="18"/>
    <x v="0"/>
  </r>
  <r>
    <n v="1212"/>
    <x v="211"/>
    <x v="211"/>
    <d v="2023-03-06T01:21:40"/>
    <s v="Customer_182"/>
    <x v="0"/>
    <s v="Asian"/>
    <x v="1"/>
    <n v="4"/>
    <n v="904"/>
    <x v="197"/>
    <n v="1"/>
    <x v="1"/>
  </r>
  <r>
    <n v="1213"/>
    <x v="212"/>
    <x v="212"/>
    <d v="2023-03-06T08:38:50"/>
    <s v="Customer_217"/>
    <x v="3"/>
    <s v="Continental"/>
    <x v="7"/>
    <n v="3"/>
    <n v="160"/>
    <x v="198"/>
    <n v="8"/>
    <x v="2"/>
  </r>
  <r>
    <n v="1214"/>
    <x v="213"/>
    <x v="213"/>
    <d v="2023-03-06T15:56:00"/>
    <s v="Customer_211"/>
    <x v="2"/>
    <s v="Fast Food"/>
    <x v="5"/>
    <n v="2"/>
    <n v="479"/>
    <x v="199"/>
    <n v="15"/>
    <x v="3"/>
  </r>
  <r>
    <n v="1215"/>
    <x v="214"/>
    <x v="214"/>
    <d v="2023-03-06T23:13:10"/>
    <s v="Customer_240"/>
    <x v="2"/>
    <s v="Continental"/>
    <x v="6"/>
    <n v="3"/>
    <n v="809"/>
    <x v="90"/>
    <n v="23"/>
    <x v="4"/>
  </r>
  <r>
    <n v="1216"/>
    <x v="215"/>
    <x v="215"/>
    <d v="2023-03-07T06:30:20"/>
    <s v="Customer_28"/>
    <x v="0"/>
    <s v="Asian"/>
    <x v="7"/>
    <n v="3"/>
    <n v="906"/>
    <x v="200"/>
    <n v="6"/>
    <x v="5"/>
  </r>
  <r>
    <n v="1217"/>
    <x v="216"/>
    <x v="216"/>
    <d v="2023-03-07T13:47:29"/>
    <s v="Customer_51"/>
    <x v="0"/>
    <s v="Asian"/>
    <x v="0"/>
    <n v="4"/>
    <n v="539"/>
    <x v="201"/>
    <n v="13"/>
    <x v="6"/>
  </r>
  <r>
    <n v="1218"/>
    <x v="217"/>
    <x v="217"/>
    <d v="2023-03-07T21:04:39"/>
    <s v="Customer_32"/>
    <x v="3"/>
    <s v="Fast Food"/>
    <x v="7"/>
    <n v="4"/>
    <n v="418"/>
    <x v="202"/>
    <n v="21"/>
    <x v="0"/>
  </r>
  <r>
    <n v="1219"/>
    <x v="218"/>
    <x v="218"/>
    <d v="2023-03-08T04:21:49"/>
    <s v="Customer_207"/>
    <x v="3"/>
    <s v="Asian"/>
    <x v="7"/>
    <n v="1"/>
    <n v="401"/>
    <x v="203"/>
    <n v="4"/>
    <x v="1"/>
  </r>
  <r>
    <n v="1220"/>
    <x v="219"/>
    <x v="219"/>
    <d v="2023-03-08T11:38:59"/>
    <s v="Customer_174"/>
    <x v="0"/>
    <s v="Continental"/>
    <x v="3"/>
    <n v="1"/>
    <n v="443"/>
    <x v="204"/>
    <n v="11"/>
    <x v="2"/>
  </r>
  <r>
    <n v="1221"/>
    <x v="220"/>
    <x v="220"/>
    <d v="2023-03-08T18:56:09"/>
    <s v="Customer_56"/>
    <x v="0"/>
    <s v="Fast Food"/>
    <x v="4"/>
    <n v="2"/>
    <n v="110"/>
    <x v="15"/>
    <n v="18"/>
    <x v="3"/>
  </r>
  <r>
    <n v="1222"/>
    <x v="221"/>
    <x v="221"/>
    <d v="2023-03-09T02:13:19"/>
    <s v="Customer_128"/>
    <x v="2"/>
    <s v="Continental"/>
    <x v="6"/>
    <n v="1"/>
    <n v="161"/>
    <x v="205"/>
    <n v="2"/>
    <x v="4"/>
  </r>
  <r>
    <n v="1223"/>
    <x v="222"/>
    <x v="222"/>
    <d v="2023-03-09T09:30:29"/>
    <s v="Customer_99"/>
    <x v="2"/>
    <s v="Fast Food"/>
    <x v="4"/>
    <n v="3"/>
    <n v="944"/>
    <x v="206"/>
    <n v="9"/>
    <x v="5"/>
  </r>
  <r>
    <n v="1224"/>
    <x v="223"/>
    <x v="223"/>
    <d v="2023-03-09T16:47:38"/>
    <s v="Customer_98"/>
    <x v="0"/>
    <s v="Asian"/>
    <x v="0"/>
    <n v="4"/>
    <n v="325"/>
    <x v="207"/>
    <n v="16"/>
    <x v="6"/>
  </r>
  <r>
    <n v="1225"/>
    <x v="224"/>
    <x v="224"/>
    <d v="2023-03-10T00:04:48"/>
    <s v="Customer_275"/>
    <x v="2"/>
    <s v="Healthy"/>
    <x v="5"/>
    <n v="1"/>
    <n v="252"/>
    <x v="208"/>
    <n v="0"/>
    <x v="0"/>
  </r>
  <r>
    <n v="1226"/>
    <x v="225"/>
    <x v="225"/>
    <d v="2023-03-10T07:21:58"/>
    <s v="Customer_230"/>
    <x v="1"/>
    <s v="Fast Food"/>
    <x v="4"/>
    <n v="1"/>
    <n v="810"/>
    <x v="209"/>
    <n v="7"/>
    <x v="1"/>
  </r>
  <r>
    <n v="1227"/>
    <x v="226"/>
    <x v="226"/>
    <d v="2023-03-10T14:39:08"/>
    <s v="Customer_72"/>
    <x v="3"/>
    <s v="Fast Food"/>
    <x v="2"/>
    <n v="2"/>
    <n v="663"/>
    <x v="210"/>
    <n v="14"/>
    <x v="2"/>
  </r>
  <r>
    <n v="1228"/>
    <x v="227"/>
    <x v="227"/>
    <d v="2023-03-10T21:56:18"/>
    <s v="Customer_217"/>
    <x v="2"/>
    <s v="Healthy"/>
    <x v="1"/>
    <n v="2"/>
    <n v="871"/>
    <x v="211"/>
    <n v="21"/>
    <x v="3"/>
  </r>
  <r>
    <n v="1229"/>
    <x v="228"/>
    <x v="228"/>
    <d v="2023-03-11T05:13:28"/>
    <s v="Customer_94"/>
    <x v="1"/>
    <s v="Asian"/>
    <x v="0"/>
    <n v="3"/>
    <n v="670"/>
    <x v="212"/>
    <n v="5"/>
    <x v="4"/>
  </r>
  <r>
    <n v="1230"/>
    <x v="229"/>
    <x v="229"/>
    <d v="2023-03-11T12:30:38"/>
    <s v="Customer_143"/>
    <x v="0"/>
    <s v="Continental"/>
    <x v="9"/>
    <n v="4"/>
    <n v="683"/>
    <x v="213"/>
    <n v="12"/>
    <x v="5"/>
  </r>
  <r>
    <n v="1231"/>
    <x v="230"/>
    <x v="230"/>
    <d v="2023-03-11T19:47:47"/>
    <s v="Customer_237"/>
    <x v="2"/>
    <s v="Main Course"/>
    <x v="8"/>
    <n v="2"/>
    <n v="759"/>
    <x v="214"/>
    <n v="19"/>
    <x v="6"/>
  </r>
  <r>
    <n v="1232"/>
    <x v="231"/>
    <x v="231"/>
    <d v="2023-03-12T03:04:57"/>
    <s v="Customer_128"/>
    <x v="0"/>
    <s v="Healthy"/>
    <x v="5"/>
    <n v="1"/>
    <n v="960"/>
    <x v="215"/>
    <n v="3"/>
    <x v="0"/>
  </r>
  <r>
    <n v="1233"/>
    <x v="232"/>
    <x v="232"/>
    <d v="2023-03-12T10:22:07"/>
    <s v="Customer_39"/>
    <x v="3"/>
    <s v="Main Course"/>
    <x v="3"/>
    <n v="4"/>
    <n v="674"/>
    <x v="216"/>
    <n v="10"/>
    <x v="1"/>
  </r>
  <r>
    <n v="1234"/>
    <x v="233"/>
    <x v="233"/>
    <d v="2023-03-12T17:39:17"/>
    <s v="Customer_227"/>
    <x v="0"/>
    <s v="Asian"/>
    <x v="4"/>
    <n v="4"/>
    <n v="409"/>
    <x v="217"/>
    <n v="17"/>
    <x v="2"/>
  </r>
  <r>
    <n v="1235"/>
    <x v="234"/>
    <x v="234"/>
    <d v="2023-03-13T00:56:27"/>
    <s v="Customer_282"/>
    <x v="1"/>
    <s v="Fast Food"/>
    <x v="3"/>
    <n v="1"/>
    <n v="984"/>
    <x v="218"/>
    <n v="0"/>
    <x v="3"/>
  </r>
  <r>
    <n v="1236"/>
    <x v="235"/>
    <x v="235"/>
    <d v="2023-03-13T08:13:37"/>
    <s v="Customer_51"/>
    <x v="0"/>
    <s v="Fast Food"/>
    <x v="2"/>
    <n v="2"/>
    <n v="342"/>
    <x v="219"/>
    <n v="8"/>
    <x v="4"/>
  </r>
  <r>
    <n v="1237"/>
    <x v="236"/>
    <x v="236"/>
    <d v="2023-03-13T15:30:47"/>
    <s v="Customer_26"/>
    <x v="1"/>
    <s v="Asian"/>
    <x v="4"/>
    <n v="1"/>
    <n v="592"/>
    <x v="150"/>
    <n v="15"/>
    <x v="5"/>
  </r>
  <r>
    <n v="1238"/>
    <x v="237"/>
    <x v="237"/>
    <d v="2023-03-13T22:47:56"/>
    <s v="Customer_277"/>
    <x v="2"/>
    <s v="Continental"/>
    <x v="8"/>
    <n v="4"/>
    <n v="465"/>
    <x v="220"/>
    <n v="22"/>
    <x v="6"/>
  </r>
  <r>
    <n v="1239"/>
    <x v="238"/>
    <x v="238"/>
    <d v="2023-03-14T06:05:06"/>
    <s v="Customer_8"/>
    <x v="2"/>
    <s v="Continental"/>
    <x v="8"/>
    <n v="5"/>
    <n v="429"/>
    <x v="221"/>
    <n v="6"/>
    <x v="0"/>
  </r>
  <r>
    <n v="1240"/>
    <x v="239"/>
    <x v="239"/>
    <d v="2023-03-14T13:22:16"/>
    <s v="Customer_48"/>
    <x v="1"/>
    <s v="Asian"/>
    <x v="7"/>
    <n v="5"/>
    <n v="206"/>
    <x v="222"/>
    <n v="13"/>
    <x v="1"/>
  </r>
  <r>
    <n v="1241"/>
    <x v="240"/>
    <x v="240"/>
    <d v="2023-03-14T20:39:26"/>
    <s v="Customer_122"/>
    <x v="3"/>
    <s v="Asian"/>
    <x v="7"/>
    <n v="3"/>
    <n v="325"/>
    <x v="223"/>
    <n v="20"/>
    <x v="2"/>
  </r>
  <r>
    <n v="1242"/>
    <x v="241"/>
    <x v="241"/>
    <d v="2023-03-15T03:56:36"/>
    <s v="Customer_86"/>
    <x v="3"/>
    <s v="Asian"/>
    <x v="6"/>
    <n v="1"/>
    <n v="924"/>
    <x v="224"/>
    <n v="3"/>
    <x v="3"/>
  </r>
  <r>
    <n v="1243"/>
    <x v="242"/>
    <x v="242"/>
    <d v="2023-03-15T11:13:46"/>
    <s v="Customer_209"/>
    <x v="3"/>
    <s v="Asian"/>
    <x v="3"/>
    <n v="1"/>
    <n v="317"/>
    <x v="225"/>
    <n v="11"/>
    <x v="4"/>
  </r>
  <r>
    <n v="1244"/>
    <x v="243"/>
    <x v="243"/>
    <d v="2023-03-15T18:30:56"/>
    <s v="Customer_249"/>
    <x v="2"/>
    <s v="Asian"/>
    <x v="9"/>
    <n v="3"/>
    <n v="852"/>
    <x v="226"/>
    <n v="18"/>
    <x v="5"/>
  </r>
  <r>
    <n v="1245"/>
    <x v="244"/>
    <x v="244"/>
    <d v="2023-03-16T01:48:05"/>
    <s v="Customer_247"/>
    <x v="2"/>
    <s v="Asian"/>
    <x v="7"/>
    <n v="3"/>
    <n v="605"/>
    <x v="227"/>
    <n v="1"/>
    <x v="6"/>
  </r>
  <r>
    <n v="1246"/>
    <x v="245"/>
    <x v="245"/>
    <d v="2023-03-16T09:05:15"/>
    <s v="Customer_110"/>
    <x v="3"/>
    <s v="Fast Food"/>
    <x v="5"/>
    <n v="3"/>
    <n v="358"/>
    <x v="228"/>
    <n v="9"/>
    <x v="0"/>
  </r>
  <r>
    <n v="1247"/>
    <x v="246"/>
    <x v="246"/>
    <d v="2023-03-16T16:22:25"/>
    <s v="Customer_206"/>
    <x v="0"/>
    <s v="Main Course"/>
    <x v="7"/>
    <n v="4"/>
    <n v="987"/>
    <x v="229"/>
    <n v="16"/>
    <x v="1"/>
  </r>
  <r>
    <n v="1248"/>
    <x v="247"/>
    <x v="247"/>
    <d v="2023-03-16T23:39:35"/>
    <s v="Customer_31"/>
    <x v="3"/>
    <s v="Continental"/>
    <x v="7"/>
    <n v="1"/>
    <n v="873"/>
    <x v="230"/>
    <n v="23"/>
    <x v="2"/>
  </r>
  <r>
    <n v="1249"/>
    <x v="248"/>
    <x v="248"/>
    <d v="2023-03-17T06:56:45"/>
    <s v="Customer_85"/>
    <x v="0"/>
    <s v="Main Course"/>
    <x v="0"/>
    <n v="4"/>
    <n v="616"/>
    <x v="231"/>
    <n v="6"/>
    <x v="3"/>
  </r>
  <r>
    <n v="1250"/>
    <x v="249"/>
    <x v="249"/>
    <d v="2023-03-17T14:13:55"/>
    <s v="Customer_195"/>
    <x v="3"/>
    <s v="Fast Food"/>
    <x v="4"/>
    <n v="3"/>
    <n v="872"/>
    <x v="232"/>
    <n v="14"/>
    <x v="4"/>
  </r>
  <r>
    <n v="1251"/>
    <x v="250"/>
    <x v="250"/>
    <d v="2023-03-17T21:31:05"/>
    <s v="Customer_2"/>
    <x v="0"/>
    <s v="Healthy"/>
    <x v="3"/>
    <n v="1"/>
    <n v="153"/>
    <x v="233"/>
    <n v="21"/>
    <x v="5"/>
  </r>
  <r>
    <n v="1252"/>
    <x v="251"/>
    <x v="251"/>
    <d v="2023-03-18T04:48:14"/>
    <s v="Customer_200"/>
    <x v="2"/>
    <s v="Main Course"/>
    <x v="0"/>
    <n v="4"/>
    <n v="146"/>
    <x v="234"/>
    <n v="4"/>
    <x v="6"/>
  </r>
  <r>
    <n v="1253"/>
    <x v="252"/>
    <x v="252"/>
    <d v="2023-03-18T12:05:24"/>
    <s v="Customer_136"/>
    <x v="3"/>
    <s v="Healthy"/>
    <x v="0"/>
    <n v="4"/>
    <n v="826"/>
    <x v="235"/>
    <n v="12"/>
    <x v="0"/>
  </r>
  <r>
    <n v="1254"/>
    <x v="253"/>
    <x v="253"/>
    <d v="2023-03-18T19:22:34"/>
    <s v="Customer_233"/>
    <x v="3"/>
    <s v="Fast Food"/>
    <x v="3"/>
    <n v="3"/>
    <n v="788"/>
    <x v="236"/>
    <n v="19"/>
    <x v="1"/>
  </r>
  <r>
    <n v="1255"/>
    <x v="254"/>
    <x v="254"/>
    <d v="2023-03-19T02:39:44"/>
    <s v="Customer_147"/>
    <x v="1"/>
    <s v="Continental"/>
    <x v="8"/>
    <n v="1"/>
    <n v="620"/>
    <x v="237"/>
    <n v="2"/>
    <x v="2"/>
  </r>
  <r>
    <n v="1256"/>
    <x v="255"/>
    <x v="255"/>
    <d v="2023-03-19T09:56:54"/>
    <s v="Customer_217"/>
    <x v="3"/>
    <s v="Healthy"/>
    <x v="7"/>
    <n v="3"/>
    <n v="198"/>
    <x v="238"/>
    <n v="9"/>
    <x v="3"/>
  </r>
  <r>
    <n v="1257"/>
    <x v="256"/>
    <x v="256"/>
    <d v="2023-03-19T17:14:04"/>
    <s v="Customer_285"/>
    <x v="0"/>
    <s v="Fast Food"/>
    <x v="9"/>
    <n v="1"/>
    <n v="119"/>
    <x v="239"/>
    <n v="17"/>
    <x v="4"/>
  </r>
  <r>
    <n v="1258"/>
    <x v="257"/>
    <x v="257"/>
    <d v="2023-03-20T00:31:14"/>
    <s v="Customer_250"/>
    <x v="1"/>
    <s v="Asian"/>
    <x v="8"/>
    <n v="5"/>
    <n v="989"/>
    <x v="240"/>
    <n v="0"/>
    <x v="5"/>
  </r>
  <r>
    <n v="1259"/>
    <x v="258"/>
    <x v="258"/>
    <d v="2023-03-20T07:48:23"/>
    <s v="Customer_80"/>
    <x v="3"/>
    <s v="Continental"/>
    <x v="0"/>
    <n v="2"/>
    <n v="852"/>
    <x v="241"/>
    <n v="7"/>
    <x v="6"/>
  </r>
  <r>
    <n v="1260"/>
    <x v="259"/>
    <x v="259"/>
    <d v="2023-03-20T15:05:33"/>
    <s v="Customer_98"/>
    <x v="3"/>
    <s v="Asian"/>
    <x v="2"/>
    <n v="2"/>
    <n v="672"/>
    <x v="242"/>
    <n v="15"/>
    <x v="0"/>
  </r>
  <r>
    <n v="1261"/>
    <x v="260"/>
    <x v="260"/>
    <d v="2023-03-20T22:22:43"/>
    <s v="Customer_152"/>
    <x v="2"/>
    <s v="Continental"/>
    <x v="2"/>
    <n v="2"/>
    <n v="990"/>
    <x v="243"/>
    <n v="22"/>
    <x v="1"/>
  </r>
  <r>
    <n v="1262"/>
    <x v="261"/>
    <x v="261"/>
    <d v="2023-03-21T05:39:53"/>
    <s v="Customer_112"/>
    <x v="1"/>
    <s v="Continental"/>
    <x v="1"/>
    <n v="3"/>
    <n v="589"/>
    <x v="127"/>
    <n v="5"/>
    <x v="2"/>
  </r>
  <r>
    <n v="1263"/>
    <x v="262"/>
    <x v="262"/>
    <d v="2023-03-21T12:57:03"/>
    <s v="Customer_30"/>
    <x v="0"/>
    <s v="Main Course"/>
    <x v="7"/>
    <n v="5"/>
    <n v="518"/>
    <x v="244"/>
    <n v="12"/>
    <x v="3"/>
  </r>
  <r>
    <n v="1264"/>
    <x v="263"/>
    <x v="263"/>
    <d v="2023-03-21T20:14:13"/>
    <s v="Customer_297"/>
    <x v="3"/>
    <s v="Continental"/>
    <x v="7"/>
    <n v="1"/>
    <n v="789"/>
    <x v="245"/>
    <n v="20"/>
    <x v="4"/>
  </r>
  <r>
    <n v="1265"/>
    <x v="264"/>
    <x v="264"/>
    <d v="2023-03-22T03:31:23"/>
    <s v="Customer_278"/>
    <x v="2"/>
    <s v="Main Course"/>
    <x v="8"/>
    <n v="4"/>
    <n v="949"/>
    <x v="246"/>
    <n v="3"/>
    <x v="5"/>
  </r>
  <r>
    <n v="1266"/>
    <x v="265"/>
    <x v="265"/>
    <d v="2023-03-22T10:48:32"/>
    <s v="Customer_32"/>
    <x v="3"/>
    <s v="Healthy"/>
    <x v="8"/>
    <n v="1"/>
    <n v="161"/>
    <x v="205"/>
    <n v="10"/>
    <x v="6"/>
  </r>
  <r>
    <n v="1267"/>
    <x v="266"/>
    <x v="266"/>
    <d v="2023-03-22T18:05:42"/>
    <s v="Customer_161"/>
    <x v="1"/>
    <s v="Continental"/>
    <x v="9"/>
    <n v="4"/>
    <n v="244"/>
    <x v="99"/>
    <n v="18"/>
    <x v="0"/>
  </r>
  <r>
    <n v="1268"/>
    <x v="267"/>
    <x v="267"/>
    <d v="2023-03-23T01:22:52"/>
    <s v="Customer_30"/>
    <x v="0"/>
    <s v="Healthy"/>
    <x v="9"/>
    <n v="1"/>
    <n v="315"/>
    <x v="82"/>
    <n v="1"/>
    <x v="1"/>
  </r>
  <r>
    <n v="1269"/>
    <x v="268"/>
    <x v="268"/>
    <d v="2023-03-23T08:40:02"/>
    <s v="Customer_26"/>
    <x v="2"/>
    <s v="Continental"/>
    <x v="2"/>
    <n v="5"/>
    <n v="102"/>
    <x v="247"/>
    <n v="8"/>
    <x v="2"/>
  </r>
  <r>
    <n v="1270"/>
    <x v="269"/>
    <x v="269"/>
    <d v="2023-03-23T15:57:12"/>
    <s v="Customer_300"/>
    <x v="3"/>
    <s v="Main Course"/>
    <x v="2"/>
    <n v="4"/>
    <n v="259"/>
    <x v="248"/>
    <n v="15"/>
    <x v="3"/>
  </r>
  <r>
    <n v="1271"/>
    <x v="270"/>
    <x v="270"/>
    <d v="2023-03-23T23:14:22"/>
    <s v="Customer_245"/>
    <x v="0"/>
    <s v="Asian"/>
    <x v="3"/>
    <n v="3"/>
    <n v="838"/>
    <x v="249"/>
    <n v="23"/>
    <x v="4"/>
  </r>
  <r>
    <n v="1272"/>
    <x v="271"/>
    <x v="271"/>
    <d v="2023-03-24T06:31:32"/>
    <s v="Customer_258"/>
    <x v="3"/>
    <s v="Continental"/>
    <x v="6"/>
    <n v="1"/>
    <n v="880"/>
    <x v="250"/>
    <n v="6"/>
    <x v="5"/>
  </r>
  <r>
    <n v="1273"/>
    <x v="272"/>
    <x v="272"/>
    <d v="2023-03-24T13:48:41"/>
    <s v="Customer_272"/>
    <x v="3"/>
    <s v="Fast Food"/>
    <x v="0"/>
    <n v="1"/>
    <n v="219"/>
    <x v="251"/>
    <n v="13"/>
    <x v="6"/>
  </r>
  <r>
    <n v="1274"/>
    <x v="273"/>
    <x v="273"/>
    <d v="2023-03-24T21:05:51"/>
    <s v="Customer_81"/>
    <x v="1"/>
    <s v="Asian"/>
    <x v="7"/>
    <n v="4"/>
    <n v="992"/>
    <x v="252"/>
    <n v="21"/>
    <x v="0"/>
  </r>
  <r>
    <n v="1275"/>
    <x v="274"/>
    <x v="274"/>
    <d v="2023-03-25T04:23:01"/>
    <s v="Customer_30"/>
    <x v="1"/>
    <s v="Main Course"/>
    <x v="2"/>
    <n v="3"/>
    <n v="188"/>
    <x v="253"/>
    <n v="4"/>
    <x v="1"/>
  </r>
  <r>
    <n v="1276"/>
    <x v="275"/>
    <x v="275"/>
    <d v="2023-03-25T11:40:11"/>
    <s v="Customer_261"/>
    <x v="3"/>
    <s v="Fast Food"/>
    <x v="2"/>
    <n v="3"/>
    <n v="428"/>
    <x v="254"/>
    <n v="11"/>
    <x v="2"/>
  </r>
  <r>
    <n v="1277"/>
    <x v="276"/>
    <x v="276"/>
    <d v="2023-03-25T18:57:21"/>
    <s v="Customer_42"/>
    <x v="2"/>
    <s v="Healthy"/>
    <x v="9"/>
    <n v="5"/>
    <n v="679"/>
    <x v="255"/>
    <n v="18"/>
    <x v="3"/>
  </r>
  <r>
    <n v="1278"/>
    <x v="277"/>
    <x v="277"/>
    <d v="2023-03-26T02:14:31"/>
    <s v="Customer_96"/>
    <x v="1"/>
    <s v="Main Course"/>
    <x v="7"/>
    <n v="3"/>
    <n v="456"/>
    <x v="256"/>
    <n v="2"/>
    <x v="4"/>
  </r>
  <r>
    <n v="1279"/>
    <x v="278"/>
    <x v="278"/>
    <d v="2023-03-26T09:31:41"/>
    <s v="Customer_36"/>
    <x v="1"/>
    <s v="Asian"/>
    <x v="1"/>
    <n v="3"/>
    <n v="709"/>
    <x v="257"/>
    <n v="9"/>
    <x v="5"/>
  </r>
  <r>
    <n v="1280"/>
    <x v="279"/>
    <x v="279"/>
    <d v="2023-03-26T16:48:50"/>
    <s v="Customer_35"/>
    <x v="1"/>
    <s v="Healthy"/>
    <x v="1"/>
    <n v="3"/>
    <n v="366"/>
    <x v="258"/>
    <n v="16"/>
    <x v="6"/>
  </r>
  <r>
    <n v="1281"/>
    <x v="280"/>
    <x v="280"/>
    <d v="2023-03-27T00:06:00"/>
    <s v="Customer_121"/>
    <x v="1"/>
    <s v="Healthy"/>
    <x v="3"/>
    <n v="2"/>
    <n v="716"/>
    <x v="259"/>
    <n v="0"/>
    <x v="0"/>
  </r>
  <r>
    <n v="1282"/>
    <x v="281"/>
    <x v="281"/>
    <d v="2023-03-27T07:23:10"/>
    <s v="Customer_207"/>
    <x v="0"/>
    <s v="Main Course"/>
    <x v="0"/>
    <n v="5"/>
    <n v="422"/>
    <x v="260"/>
    <n v="7"/>
    <x v="1"/>
  </r>
  <r>
    <n v="1283"/>
    <x v="282"/>
    <x v="282"/>
    <d v="2023-03-27T14:40:20"/>
    <s v="Customer_62"/>
    <x v="3"/>
    <s v="Asian"/>
    <x v="1"/>
    <n v="1"/>
    <n v="734"/>
    <x v="95"/>
    <n v="14"/>
    <x v="2"/>
  </r>
  <r>
    <n v="1284"/>
    <x v="283"/>
    <x v="283"/>
    <d v="2023-03-27T21:57:30"/>
    <s v="Customer_292"/>
    <x v="0"/>
    <s v="Main Course"/>
    <x v="3"/>
    <n v="4"/>
    <n v="640"/>
    <x v="261"/>
    <n v="21"/>
    <x v="3"/>
  </r>
  <r>
    <n v="1285"/>
    <x v="284"/>
    <x v="284"/>
    <d v="2023-03-28T05:14:40"/>
    <s v="Customer_127"/>
    <x v="0"/>
    <s v="Fast Food"/>
    <x v="1"/>
    <n v="1"/>
    <n v="748"/>
    <x v="262"/>
    <n v="5"/>
    <x v="4"/>
  </r>
  <r>
    <n v="1286"/>
    <x v="285"/>
    <x v="285"/>
    <d v="2023-03-28T12:31:50"/>
    <s v="Customer_297"/>
    <x v="3"/>
    <s v="Fast Food"/>
    <x v="9"/>
    <n v="5"/>
    <n v="294"/>
    <x v="263"/>
    <n v="12"/>
    <x v="5"/>
  </r>
  <r>
    <n v="1287"/>
    <x v="286"/>
    <x v="286"/>
    <d v="2023-03-28T19:48:59"/>
    <s v="Customer_21"/>
    <x v="1"/>
    <s v="Continental"/>
    <x v="7"/>
    <n v="4"/>
    <n v="837"/>
    <x v="264"/>
    <n v="19"/>
    <x v="6"/>
  </r>
  <r>
    <n v="1288"/>
    <x v="287"/>
    <x v="287"/>
    <d v="2023-03-29T03:06:09"/>
    <s v="Customer_42"/>
    <x v="2"/>
    <s v="Healthy"/>
    <x v="9"/>
    <n v="5"/>
    <n v="431"/>
    <x v="265"/>
    <n v="3"/>
    <x v="0"/>
  </r>
  <r>
    <n v="1289"/>
    <x v="288"/>
    <x v="288"/>
    <d v="2023-03-29T10:23:19"/>
    <s v="Customer_215"/>
    <x v="1"/>
    <s v="Continental"/>
    <x v="8"/>
    <n v="3"/>
    <n v="269"/>
    <x v="266"/>
    <n v="10"/>
    <x v="1"/>
  </r>
  <r>
    <n v="1290"/>
    <x v="289"/>
    <x v="289"/>
    <d v="2023-03-29T17:40:29"/>
    <s v="Customer_299"/>
    <x v="1"/>
    <s v="Asian"/>
    <x v="9"/>
    <n v="4"/>
    <n v="620"/>
    <x v="267"/>
    <n v="17"/>
    <x v="2"/>
  </r>
  <r>
    <n v="1291"/>
    <x v="290"/>
    <x v="290"/>
    <d v="2023-03-30T00:57:39"/>
    <s v="Customer_290"/>
    <x v="1"/>
    <s v="Fast Food"/>
    <x v="7"/>
    <n v="3"/>
    <n v="562"/>
    <x v="268"/>
    <n v="0"/>
    <x v="3"/>
  </r>
  <r>
    <n v="1292"/>
    <x v="291"/>
    <x v="291"/>
    <d v="2023-03-30T08:14:49"/>
    <s v="Customer_268"/>
    <x v="1"/>
    <s v="Continental"/>
    <x v="1"/>
    <n v="1"/>
    <n v="139"/>
    <x v="269"/>
    <n v="8"/>
    <x v="4"/>
  </r>
  <r>
    <n v="1293"/>
    <x v="292"/>
    <x v="292"/>
    <d v="2023-03-30T15:31:59"/>
    <s v="Customer_162"/>
    <x v="2"/>
    <s v="Fast Food"/>
    <x v="6"/>
    <n v="1"/>
    <n v="636"/>
    <x v="92"/>
    <n v="15"/>
    <x v="5"/>
  </r>
  <r>
    <n v="1294"/>
    <x v="293"/>
    <x v="293"/>
    <d v="2023-03-30T22:49:08"/>
    <s v="Customer_134"/>
    <x v="0"/>
    <s v="Fast Food"/>
    <x v="3"/>
    <n v="4"/>
    <n v="360"/>
    <x v="270"/>
    <n v="22"/>
    <x v="6"/>
  </r>
  <r>
    <n v="1295"/>
    <x v="294"/>
    <x v="294"/>
    <d v="2023-03-31T06:06:18"/>
    <s v="Customer_105"/>
    <x v="2"/>
    <s v="Fast Food"/>
    <x v="6"/>
    <n v="4"/>
    <n v="494"/>
    <x v="271"/>
    <n v="6"/>
    <x v="0"/>
  </r>
  <r>
    <n v="1296"/>
    <x v="295"/>
    <x v="295"/>
    <d v="2023-03-31T13:23:28"/>
    <s v="Customer_161"/>
    <x v="3"/>
    <s v="Main Course"/>
    <x v="3"/>
    <n v="5"/>
    <n v="325"/>
    <x v="272"/>
    <n v="13"/>
    <x v="1"/>
  </r>
  <r>
    <n v="1297"/>
    <x v="296"/>
    <x v="296"/>
    <d v="2023-03-31T20:40:38"/>
    <s v="Customer_123"/>
    <x v="1"/>
    <s v="Continental"/>
    <x v="9"/>
    <n v="5"/>
    <n v="223"/>
    <x v="273"/>
    <n v="20"/>
    <x v="2"/>
  </r>
  <r>
    <n v="1298"/>
    <x v="297"/>
    <x v="297"/>
    <d v="2023-04-01T03:57:48"/>
    <s v="Customer_136"/>
    <x v="2"/>
    <s v="Healthy"/>
    <x v="6"/>
    <n v="3"/>
    <n v="137"/>
    <x v="274"/>
    <n v="3"/>
    <x v="3"/>
  </r>
  <r>
    <n v="1299"/>
    <x v="298"/>
    <x v="298"/>
    <d v="2023-04-01T11:14:58"/>
    <s v="Customer_203"/>
    <x v="3"/>
    <s v="Continental"/>
    <x v="1"/>
    <n v="4"/>
    <n v="427"/>
    <x v="275"/>
    <n v="11"/>
    <x v="4"/>
  </r>
  <r>
    <n v="1300"/>
    <x v="299"/>
    <x v="299"/>
    <d v="2023-04-01T18:32:08"/>
    <s v="Customer_68"/>
    <x v="2"/>
    <s v="Healthy"/>
    <x v="2"/>
    <n v="1"/>
    <n v="350"/>
    <x v="276"/>
    <n v="18"/>
    <x v="5"/>
  </r>
  <r>
    <n v="1301"/>
    <x v="300"/>
    <x v="300"/>
    <d v="2023-04-02T01:49:17"/>
    <s v="Customer_154"/>
    <x v="1"/>
    <s v="Continental"/>
    <x v="6"/>
    <n v="5"/>
    <n v="275"/>
    <x v="277"/>
    <n v="1"/>
    <x v="6"/>
  </r>
  <r>
    <n v="1302"/>
    <x v="301"/>
    <x v="301"/>
    <d v="2023-04-02T09:06:27"/>
    <s v="Customer_235"/>
    <x v="1"/>
    <s v="Continental"/>
    <x v="8"/>
    <n v="5"/>
    <n v="701"/>
    <x v="278"/>
    <n v="9"/>
    <x v="0"/>
  </r>
  <r>
    <n v="1303"/>
    <x v="302"/>
    <x v="302"/>
    <d v="2023-04-02T16:23:37"/>
    <s v="Customer_162"/>
    <x v="3"/>
    <s v="Fast Food"/>
    <x v="9"/>
    <n v="1"/>
    <n v="553"/>
    <x v="279"/>
    <n v="16"/>
    <x v="1"/>
  </r>
  <r>
    <n v="1304"/>
    <x v="303"/>
    <x v="303"/>
    <d v="2023-04-02T23:40:47"/>
    <s v="Customer_38"/>
    <x v="2"/>
    <s v="Healthy"/>
    <x v="3"/>
    <n v="5"/>
    <n v="136"/>
    <x v="280"/>
    <n v="23"/>
    <x v="2"/>
  </r>
  <r>
    <n v="1305"/>
    <x v="304"/>
    <x v="304"/>
    <d v="2023-04-03T06:57:57"/>
    <s v="Customer_5"/>
    <x v="1"/>
    <s v="Healthy"/>
    <x v="3"/>
    <n v="3"/>
    <n v="415"/>
    <x v="281"/>
    <n v="6"/>
    <x v="3"/>
  </r>
  <r>
    <n v="1306"/>
    <x v="305"/>
    <x v="305"/>
    <d v="2023-04-03T14:15:07"/>
    <s v="Customer_235"/>
    <x v="3"/>
    <s v="Healthy"/>
    <x v="7"/>
    <n v="4"/>
    <n v="787"/>
    <x v="282"/>
    <n v="14"/>
    <x v="4"/>
  </r>
  <r>
    <n v="1307"/>
    <x v="306"/>
    <x v="306"/>
    <d v="2023-04-03T21:32:17"/>
    <s v="Customer_289"/>
    <x v="2"/>
    <s v="Continental"/>
    <x v="1"/>
    <n v="1"/>
    <n v="895"/>
    <x v="283"/>
    <n v="21"/>
    <x v="5"/>
  </r>
  <r>
    <n v="1308"/>
    <x v="307"/>
    <x v="307"/>
    <d v="2023-04-04T04:49:26"/>
    <s v="Customer_52"/>
    <x v="2"/>
    <s v="Healthy"/>
    <x v="3"/>
    <n v="4"/>
    <n v="692"/>
    <x v="284"/>
    <n v="4"/>
    <x v="6"/>
  </r>
  <r>
    <n v="1309"/>
    <x v="308"/>
    <x v="308"/>
    <d v="2023-04-04T12:06:36"/>
    <s v="Customer_38"/>
    <x v="3"/>
    <s v="Continental"/>
    <x v="8"/>
    <n v="5"/>
    <n v="213"/>
    <x v="285"/>
    <n v="12"/>
    <x v="0"/>
  </r>
  <r>
    <n v="1310"/>
    <x v="309"/>
    <x v="309"/>
    <d v="2023-04-04T19:23:46"/>
    <s v="Customer_276"/>
    <x v="2"/>
    <s v="Main Course"/>
    <x v="7"/>
    <n v="5"/>
    <n v="139"/>
    <x v="286"/>
    <n v="19"/>
    <x v="1"/>
  </r>
  <r>
    <n v="1311"/>
    <x v="310"/>
    <x v="310"/>
    <d v="2023-04-05T02:40:56"/>
    <s v="Customer_110"/>
    <x v="2"/>
    <s v="Fast Food"/>
    <x v="0"/>
    <n v="1"/>
    <n v="400"/>
    <x v="287"/>
    <n v="2"/>
    <x v="2"/>
  </r>
  <r>
    <n v="1312"/>
    <x v="311"/>
    <x v="311"/>
    <d v="2023-04-05T09:58:06"/>
    <s v="Customer_260"/>
    <x v="1"/>
    <s v="Asian"/>
    <x v="2"/>
    <n v="3"/>
    <n v="323"/>
    <x v="288"/>
    <n v="9"/>
    <x v="3"/>
  </r>
  <r>
    <n v="1313"/>
    <x v="312"/>
    <x v="312"/>
    <d v="2023-04-05T17:15:16"/>
    <s v="Customer_136"/>
    <x v="1"/>
    <s v="Main Course"/>
    <x v="8"/>
    <n v="2"/>
    <n v="417"/>
    <x v="289"/>
    <n v="17"/>
    <x v="4"/>
  </r>
  <r>
    <n v="1314"/>
    <x v="313"/>
    <x v="313"/>
    <d v="2023-04-06T00:32:26"/>
    <s v="Customer_68"/>
    <x v="1"/>
    <s v="Healthy"/>
    <x v="5"/>
    <n v="1"/>
    <n v="448"/>
    <x v="147"/>
    <n v="0"/>
    <x v="5"/>
  </r>
  <r>
    <n v="1315"/>
    <x v="314"/>
    <x v="314"/>
    <d v="2023-04-06T07:49:35"/>
    <s v="Customer_179"/>
    <x v="3"/>
    <s v="Fast Food"/>
    <x v="6"/>
    <n v="2"/>
    <n v="214"/>
    <x v="290"/>
    <n v="7"/>
    <x v="6"/>
  </r>
  <r>
    <n v="1316"/>
    <x v="315"/>
    <x v="315"/>
    <d v="2023-04-06T15:06:45"/>
    <s v="Customer_36"/>
    <x v="0"/>
    <s v="Fast Food"/>
    <x v="6"/>
    <n v="2"/>
    <n v="797"/>
    <x v="291"/>
    <n v="15"/>
    <x v="0"/>
  </r>
  <r>
    <n v="1317"/>
    <x v="316"/>
    <x v="316"/>
    <d v="2023-04-06T22:23:55"/>
    <s v="Customer_126"/>
    <x v="2"/>
    <s v="Fast Food"/>
    <x v="4"/>
    <n v="3"/>
    <n v="422"/>
    <x v="292"/>
    <n v="22"/>
    <x v="1"/>
  </r>
  <r>
    <n v="1318"/>
    <x v="317"/>
    <x v="317"/>
    <d v="2023-04-07T05:41:05"/>
    <s v="Customer_190"/>
    <x v="3"/>
    <s v="Fast Food"/>
    <x v="2"/>
    <n v="2"/>
    <n v="667"/>
    <x v="293"/>
    <n v="5"/>
    <x v="2"/>
  </r>
  <r>
    <n v="1319"/>
    <x v="318"/>
    <x v="318"/>
    <d v="2023-04-07T12:58:15"/>
    <s v="Customer_146"/>
    <x v="0"/>
    <s v="Healthy"/>
    <x v="5"/>
    <n v="2"/>
    <n v="139"/>
    <x v="294"/>
    <n v="12"/>
    <x v="3"/>
  </r>
  <r>
    <n v="1320"/>
    <x v="319"/>
    <x v="319"/>
    <d v="2023-04-07T20:15:25"/>
    <s v="Customer_81"/>
    <x v="0"/>
    <s v="Fast Food"/>
    <x v="5"/>
    <n v="3"/>
    <n v="965"/>
    <x v="295"/>
    <n v="20"/>
    <x v="4"/>
  </r>
  <r>
    <n v="1321"/>
    <x v="320"/>
    <x v="320"/>
    <d v="2023-04-08T03:32:35"/>
    <s v="Customer_225"/>
    <x v="3"/>
    <s v="Asian"/>
    <x v="6"/>
    <n v="2"/>
    <n v="139"/>
    <x v="294"/>
    <n v="3"/>
    <x v="5"/>
  </r>
  <r>
    <n v="1322"/>
    <x v="321"/>
    <x v="321"/>
    <d v="2023-04-08T10:49:44"/>
    <s v="Customer_279"/>
    <x v="0"/>
    <s v="Asian"/>
    <x v="7"/>
    <n v="2"/>
    <n v="958"/>
    <x v="296"/>
    <n v="10"/>
    <x v="6"/>
  </r>
  <r>
    <n v="1323"/>
    <x v="322"/>
    <x v="322"/>
    <d v="2023-04-08T18:06:54"/>
    <s v="Customer_155"/>
    <x v="1"/>
    <s v="Fast Food"/>
    <x v="1"/>
    <n v="2"/>
    <n v="848"/>
    <x v="297"/>
    <n v="18"/>
    <x v="0"/>
  </r>
  <r>
    <n v="1324"/>
    <x v="323"/>
    <x v="323"/>
    <d v="2023-04-09T01:24:04"/>
    <s v="Customer_271"/>
    <x v="3"/>
    <s v="Continental"/>
    <x v="4"/>
    <n v="1"/>
    <n v="388"/>
    <x v="298"/>
    <n v="1"/>
    <x v="1"/>
  </r>
  <r>
    <n v="1325"/>
    <x v="324"/>
    <x v="324"/>
    <d v="2023-04-09T08:41:14"/>
    <s v="Customer_5"/>
    <x v="2"/>
    <s v="Healthy"/>
    <x v="3"/>
    <n v="1"/>
    <n v="361"/>
    <x v="299"/>
    <n v="8"/>
    <x v="2"/>
  </r>
  <r>
    <n v="1326"/>
    <x v="325"/>
    <x v="325"/>
    <d v="2023-04-09T15:58:24"/>
    <s v="Customer_284"/>
    <x v="1"/>
    <s v="Asian"/>
    <x v="2"/>
    <n v="1"/>
    <n v="315"/>
    <x v="82"/>
    <n v="15"/>
    <x v="3"/>
  </r>
  <r>
    <n v="1327"/>
    <x v="326"/>
    <x v="326"/>
    <d v="2023-04-09T23:15:34"/>
    <s v="Customer_154"/>
    <x v="2"/>
    <s v="Asian"/>
    <x v="1"/>
    <n v="3"/>
    <n v="246"/>
    <x v="300"/>
    <n v="23"/>
    <x v="4"/>
  </r>
  <r>
    <n v="1328"/>
    <x v="327"/>
    <x v="327"/>
    <d v="2023-04-10T06:32:44"/>
    <s v="Customer_54"/>
    <x v="0"/>
    <s v="Asian"/>
    <x v="9"/>
    <n v="5"/>
    <n v="435"/>
    <x v="301"/>
    <n v="6"/>
    <x v="5"/>
  </r>
  <r>
    <n v="1329"/>
    <x v="328"/>
    <x v="328"/>
    <d v="2023-04-10T13:49:53"/>
    <s v="Customer_69"/>
    <x v="1"/>
    <s v="Main Course"/>
    <x v="5"/>
    <n v="2"/>
    <n v="267"/>
    <x v="302"/>
    <n v="13"/>
    <x v="6"/>
  </r>
  <r>
    <n v="1330"/>
    <x v="329"/>
    <x v="329"/>
    <d v="2023-04-10T21:07:03"/>
    <s v="Customer_136"/>
    <x v="2"/>
    <s v="Main Course"/>
    <x v="6"/>
    <n v="2"/>
    <n v="191"/>
    <x v="303"/>
    <n v="21"/>
    <x v="0"/>
  </r>
  <r>
    <n v="1331"/>
    <x v="330"/>
    <x v="330"/>
    <d v="2023-04-11T04:24:13"/>
    <s v="Customer_60"/>
    <x v="3"/>
    <s v="Asian"/>
    <x v="8"/>
    <n v="3"/>
    <n v="452"/>
    <x v="304"/>
    <n v="4"/>
    <x v="1"/>
  </r>
  <r>
    <n v="1332"/>
    <x v="331"/>
    <x v="331"/>
    <d v="2023-04-11T11:41:23"/>
    <s v="Customer_55"/>
    <x v="0"/>
    <s v="Continental"/>
    <x v="8"/>
    <n v="2"/>
    <n v="670"/>
    <x v="305"/>
    <n v="11"/>
    <x v="2"/>
  </r>
  <r>
    <n v="1333"/>
    <x v="332"/>
    <x v="332"/>
    <d v="2023-04-11T18:58:33"/>
    <s v="Customer_284"/>
    <x v="2"/>
    <s v="Healthy"/>
    <x v="9"/>
    <n v="1"/>
    <n v="670"/>
    <x v="97"/>
    <n v="18"/>
    <x v="3"/>
  </r>
  <r>
    <n v="1334"/>
    <x v="333"/>
    <x v="333"/>
    <d v="2023-04-12T02:15:43"/>
    <s v="Customer_80"/>
    <x v="0"/>
    <s v="Healthy"/>
    <x v="5"/>
    <n v="5"/>
    <n v="915"/>
    <x v="306"/>
    <n v="2"/>
    <x v="4"/>
  </r>
  <r>
    <n v="1335"/>
    <x v="334"/>
    <x v="334"/>
    <d v="2023-04-12T09:32:53"/>
    <s v="Customer_140"/>
    <x v="2"/>
    <s v="Asian"/>
    <x v="3"/>
    <n v="4"/>
    <n v="780"/>
    <x v="307"/>
    <n v="9"/>
    <x v="5"/>
  </r>
  <r>
    <n v="1336"/>
    <x v="335"/>
    <x v="335"/>
    <d v="2023-04-12T16:50:03"/>
    <s v="Customer_145"/>
    <x v="3"/>
    <s v="Asian"/>
    <x v="3"/>
    <n v="2"/>
    <n v="880"/>
    <x v="308"/>
    <n v="16"/>
    <x v="6"/>
  </r>
  <r>
    <n v="1337"/>
    <x v="336"/>
    <x v="336"/>
    <d v="2023-04-13T00:07:12"/>
    <s v="Customer_108"/>
    <x v="1"/>
    <s v="Healthy"/>
    <x v="9"/>
    <n v="1"/>
    <n v="462"/>
    <x v="25"/>
    <n v="0"/>
    <x v="0"/>
  </r>
  <r>
    <n v="1338"/>
    <x v="337"/>
    <x v="337"/>
    <d v="2023-04-13T07:24:22"/>
    <s v="Customer_176"/>
    <x v="2"/>
    <s v="Continental"/>
    <x v="7"/>
    <n v="4"/>
    <n v="656"/>
    <x v="309"/>
    <n v="7"/>
    <x v="1"/>
  </r>
  <r>
    <n v="1339"/>
    <x v="338"/>
    <x v="338"/>
    <d v="2023-04-13T14:41:32"/>
    <s v="Customer_105"/>
    <x v="0"/>
    <s v="Main Course"/>
    <x v="3"/>
    <n v="5"/>
    <n v="444"/>
    <x v="310"/>
    <n v="14"/>
    <x v="2"/>
  </r>
  <r>
    <n v="1340"/>
    <x v="339"/>
    <x v="339"/>
    <d v="2023-04-13T21:58:42"/>
    <s v="Customer_136"/>
    <x v="3"/>
    <s v="Main Course"/>
    <x v="2"/>
    <n v="4"/>
    <n v="792"/>
    <x v="311"/>
    <n v="21"/>
    <x v="3"/>
  </r>
  <r>
    <n v="1341"/>
    <x v="340"/>
    <x v="340"/>
    <d v="2023-04-14T05:15:52"/>
    <s v="Customer_259"/>
    <x v="1"/>
    <s v="Asian"/>
    <x v="4"/>
    <n v="1"/>
    <n v="269"/>
    <x v="312"/>
    <n v="5"/>
    <x v="4"/>
  </r>
  <r>
    <n v="1342"/>
    <x v="341"/>
    <x v="341"/>
    <d v="2023-04-14T12:33:02"/>
    <s v="Customer_251"/>
    <x v="0"/>
    <s v="Healthy"/>
    <x v="2"/>
    <n v="4"/>
    <n v="455"/>
    <x v="313"/>
    <n v="12"/>
    <x v="5"/>
  </r>
  <r>
    <n v="1343"/>
    <x v="342"/>
    <x v="342"/>
    <d v="2023-04-14T19:50:12"/>
    <s v="Customer_129"/>
    <x v="3"/>
    <s v="Main Course"/>
    <x v="0"/>
    <n v="3"/>
    <n v="290"/>
    <x v="314"/>
    <n v="19"/>
    <x v="6"/>
  </r>
  <r>
    <n v="1344"/>
    <x v="343"/>
    <x v="343"/>
    <d v="2023-04-15T03:07:21"/>
    <s v="Customer_27"/>
    <x v="0"/>
    <s v="Continental"/>
    <x v="8"/>
    <n v="4"/>
    <n v="766"/>
    <x v="315"/>
    <n v="3"/>
    <x v="0"/>
  </r>
  <r>
    <n v="1345"/>
    <x v="344"/>
    <x v="344"/>
    <d v="2023-04-15T10:24:31"/>
    <s v="Customer_48"/>
    <x v="3"/>
    <s v="Asian"/>
    <x v="5"/>
    <n v="2"/>
    <n v="521"/>
    <x v="316"/>
    <n v="10"/>
    <x v="1"/>
  </r>
  <r>
    <n v="1346"/>
    <x v="345"/>
    <x v="345"/>
    <d v="2023-04-15T17:41:41"/>
    <s v="Customer_217"/>
    <x v="1"/>
    <s v="Fast Food"/>
    <x v="4"/>
    <n v="2"/>
    <n v="799"/>
    <x v="317"/>
    <n v="17"/>
    <x v="2"/>
  </r>
  <r>
    <n v="1347"/>
    <x v="346"/>
    <x v="346"/>
    <d v="2023-04-16T00:58:51"/>
    <s v="Customer_142"/>
    <x v="1"/>
    <s v="Asian"/>
    <x v="5"/>
    <n v="3"/>
    <n v="106"/>
    <x v="318"/>
    <n v="0"/>
    <x v="3"/>
  </r>
  <r>
    <n v="1348"/>
    <x v="347"/>
    <x v="347"/>
    <d v="2023-04-16T08:16:01"/>
    <s v="Customer_23"/>
    <x v="0"/>
    <s v="Fast Food"/>
    <x v="1"/>
    <n v="1"/>
    <n v="232"/>
    <x v="73"/>
    <n v="8"/>
    <x v="4"/>
  </r>
  <r>
    <n v="1349"/>
    <x v="348"/>
    <x v="348"/>
    <d v="2023-04-16T15:33:11"/>
    <s v="Customer_2"/>
    <x v="3"/>
    <s v="Asian"/>
    <x v="1"/>
    <n v="2"/>
    <n v="846"/>
    <x v="319"/>
    <n v="15"/>
    <x v="5"/>
  </r>
  <r>
    <n v="1350"/>
    <x v="349"/>
    <x v="349"/>
    <d v="2023-04-16T22:50:21"/>
    <s v="Customer_171"/>
    <x v="2"/>
    <s v="Healthy"/>
    <x v="4"/>
    <n v="5"/>
    <n v="656"/>
    <x v="320"/>
    <n v="22"/>
    <x v="6"/>
  </r>
  <r>
    <n v="1351"/>
    <x v="350"/>
    <x v="350"/>
    <d v="2023-04-17T06:07:30"/>
    <s v="Customer_67"/>
    <x v="1"/>
    <s v="Healthy"/>
    <x v="7"/>
    <n v="2"/>
    <n v="925"/>
    <x v="321"/>
    <n v="6"/>
    <x v="0"/>
  </r>
  <r>
    <n v="1352"/>
    <x v="351"/>
    <x v="351"/>
    <d v="2023-04-17T13:24:40"/>
    <s v="Customer_135"/>
    <x v="2"/>
    <s v="Healthy"/>
    <x v="3"/>
    <n v="2"/>
    <n v="860"/>
    <x v="322"/>
    <n v="13"/>
    <x v="1"/>
  </r>
  <r>
    <n v="1353"/>
    <x v="352"/>
    <x v="352"/>
    <d v="2023-04-17T20:41:50"/>
    <s v="Customer_83"/>
    <x v="2"/>
    <s v="Healthy"/>
    <x v="3"/>
    <n v="1"/>
    <n v="130"/>
    <x v="323"/>
    <n v="20"/>
    <x v="2"/>
  </r>
  <r>
    <n v="1354"/>
    <x v="353"/>
    <x v="353"/>
    <d v="2023-04-18T03:59:00"/>
    <s v="Customer_227"/>
    <x v="0"/>
    <s v="Continental"/>
    <x v="6"/>
    <n v="4"/>
    <n v="634"/>
    <x v="324"/>
    <n v="3"/>
    <x v="3"/>
  </r>
  <r>
    <n v="1355"/>
    <x v="354"/>
    <x v="354"/>
    <d v="2023-04-18T11:16:10"/>
    <s v="Customer_283"/>
    <x v="0"/>
    <s v="Continental"/>
    <x v="3"/>
    <n v="2"/>
    <n v="525"/>
    <x v="325"/>
    <n v="11"/>
    <x v="4"/>
  </r>
  <r>
    <n v="1356"/>
    <x v="355"/>
    <x v="355"/>
    <d v="2023-04-18T18:33:20"/>
    <s v="Customer_219"/>
    <x v="0"/>
    <s v="Fast Food"/>
    <x v="7"/>
    <n v="3"/>
    <n v="493"/>
    <x v="326"/>
    <n v="18"/>
    <x v="5"/>
  </r>
  <r>
    <n v="1357"/>
    <x v="356"/>
    <x v="356"/>
    <d v="2023-04-19T01:50:30"/>
    <s v="Customer_288"/>
    <x v="3"/>
    <s v="Continental"/>
    <x v="3"/>
    <n v="4"/>
    <n v="771"/>
    <x v="327"/>
    <n v="1"/>
    <x v="6"/>
  </r>
  <r>
    <n v="1358"/>
    <x v="357"/>
    <x v="357"/>
    <d v="2023-04-19T09:07:39"/>
    <s v="Customer_5"/>
    <x v="1"/>
    <s v="Asian"/>
    <x v="3"/>
    <n v="5"/>
    <n v="462"/>
    <x v="4"/>
    <n v="9"/>
    <x v="0"/>
  </r>
  <r>
    <n v="1359"/>
    <x v="358"/>
    <x v="358"/>
    <d v="2023-04-19T16:24:49"/>
    <s v="Customer_58"/>
    <x v="1"/>
    <s v="Healthy"/>
    <x v="2"/>
    <n v="1"/>
    <n v="536"/>
    <x v="328"/>
    <n v="16"/>
    <x v="1"/>
  </r>
  <r>
    <n v="1360"/>
    <x v="359"/>
    <x v="359"/>
    <d v="2023-04-19T23:41:59"/>
    <s v="Customer_39"/>
    <x v="2"/>
    <s v="Main Course"/>
    <x v="7"/>
    <n v="5"/>
    <n v="769"/>
    <x v="329"/>
    <n v="23"/>
    <x v="2"/>
  </r>
  <r>
    <n v="1361"/>
    <x v="360"/>
    <x v="360"/>
    <d v="2023-04-20T06:59:09"/>
    <s v="Customer_77"/>
    <x v="0"/>
    <s v="Main Course"/>
    <x v="3"/>
    <n v="4"/>
    <n v="650"/>
    <x v="330"/>
    <n v="6"/>
    <x v="3"/>
  </r>
  <r>
    <n v="1362"/>
    <x v="361"/>
    <x v="361"/>
    <d v="2023-04-20T14:16:19"/>
    <s v="Customer_280"/>
    <x v="3"/>
    <s v="Main Course"/>
    <x v="8"/>
    <n v="4"/>
    <n v="181"/>
    <x v="331"/>
    <n v="14"/>
    <x v="4"/>
  </r>
  <r>
    <n v="1363"/>
    <x v="362"/>
    <x v="362"/>
    <d v="2023-04-20T21:33:29"/>
    <s v="Customer_19"/>
    <x v="1"/>
    <s v="Asian"/>
    <x v="7"/>
    <n v="4"/>
    <n v="455"/>
    <x v="313"/>
    <n v="21"/>
    <x v="5"/>
  </r>
  <r>
    <n v="1364"/>
    <x v="363"/>
    <x v="363"/>
    <d v="2023-04-21T04:50:39"/>
    <s v="Customer_190"/>
    <x v="3"/>
    <s v="Main Course"/>
    <x v="1"/>
    <n v="5"/>
    <n v="357"/>
    <x v="332"/>
    <n v="4"/>
    <x v="6"/>
  </r>
  <r>
    <n v="1365"/>
    <x v="364"/>
    <x v="364"/>
    <d v="2023-04-21T12:07:48"/>
    <s v="Customer_299"/>
    <x v="0"/>
    <s v="Main Course"/>
    <x v="1"/>
    <n v="4"/>
    <n v="817"/>
    <x v="333"/>
    <n v="12"/>
    <x v="0"/>
  </r>
  <r>
    <n v="1366"/>
    <x v="365"/>
    <x v="365"/>
    <d v="2023-04-21T19:24:58"/>
    <s v="Customer_283"/>
    <x v="0"/>
    <s v="Fast Food"/>
    <x v="8"/>
    <n v="5"/>
    <n v="688"/>
    <x v="334"/>
    <n v="19"/>
    <x v="1"/>
  </r>
  <r>
    <n v="1367"/>
    <x v="366"/>
    <x v="366"/>
    <d v="2023-04-22T02:42:08"/>
    <s v="Customer_76"/>
    <x v="1"/>
    <s v="Asian"/>
    <x v="5"/>
    <n v="4"/>
    <n v="623"/>
    <x v="335"/>
    <n v="2"/>
    <x v="2"/>
  </r>
  <r>
    <n v="1368"/>
    <x v="367"/>
    <x v="367"/>
    <d v="2023-04-22T09:59:18"/>
    <s v="Customer_221"/>
    <x v="2"/>
    <s v="Asian"/>
    <x v="5"/>
    <n v="3"/>
    <n v="394"/>
    <x v="336"/>
    <n v="9"/>
    <x v="3"/>
  </r>
  <r>
    <n v="1369"/>
    <x v="368"/>
    <x v="368"/>
    <d v="2023-04-22T17:16:28"/>
    <s v="Customer_66"/>
    <x v="2"/>
    <s v="Main Course"/>
    <x v="8"/>
    <n v="4"/>
    <n v="323"/>
    <x v="337"/>
    <n v="17"/>
    <x v="4"/>
  </r>
  <r>
    <n v="1370"/>
    <x v="369"/>
    <x v="369"/>
    <d v="2023-04-23T00:33:38"/>
    <s v="Customer_22"/>
    <x v="0"/>
    <s v="Asian"/>
    <x v="7"/>
    <n v="5"/>
    <n v="624"/>
    <x v="307"/>
    <n v="0"/>
    <x v="5"/>
  </r>
  <r>
    <n v="1371"/>
    <x v="370"/>
    <x v="370"/>
    <d v="2023-04-23T07:50:48"/>
    <s v="Customer_158"/>
    <x v="0"/>
    <s v="Fast Food"/>
    <x v="6"/>
    <n v="2"/>
    <n v="145"/>
    <x v="338"/>
    <n v="7"/>
    <x v="6"/>
  </r>
  <r>
    <n v="1372"/>
    <x v="371"/>
    <x v="371"/>
    <d v="2023-04-23T15:07:57"/>
    <s v="Customer_187"/>
    <x v="2"/>
    <s v="Fast Food"/>
    <x v="6"/>
    <n v="4"/>
    <n v="766"/>
    <x v="315"/>
    <n v="15"/>
    <x v="0"/>
  </r>
  <r>
    <n v="1373"/>
    <x v="372"/>
    <x v="372"/>
    <d v="2023-04-23T22:25:07"/>
    <s v="Customer_21"/>
    <x v="0"/>
    <s v="Healthy"/>
    <x v="0"/>
    <n v="2"/>
    <n v="212"/>
    <x v="339"/>
    <n v="22"/>
    <x v="1"/>
  </r>
  <r>
    <n v="1374"/>
    <x v="373"/>
    <x v="373"/>
    <d v="2023-04-24T05:42:17"/>
    <s v="Customer_184"/>
    <x v="1"/>
    <s v="Fast Food"/>
    <x v="5"/>
    <n v="3"/>
    <n v="332"/>
    <x v="340"/>
    <n v="5"/>
    <x v="2"/>
  </r>
  <r>
    <n v="1375"/>
    <x v="374"/>
    <x v="374"/>
    <d v="2023-04-24T12:59:27"/>
    <s v="Customer_108"/>
    <x v="1"/>
    <s v="Healthy"/>
    <x v="5"/>
    <n v="1"/>
    <n v="116"/>
    <x v="341"/>
    <n v="12"/>
    <x v="3"/>
  </r>
  <r>
    <n v="1376"/>
    <x v="375"/>
    <x v="375"/>
    <d v="2023-04-24T20:16:37"/>
    <s v="Customer_128"/>
    <x v="3"/>
    <s v="Main Course"/>
    <x v="4"/>
    <n v="3"/>
    <n v="459"/>
    <x v="342"/>
    <n v="20"/>
    <x v="4"/>
  </r>
  <r>
    <n v="1377"/>
    <x v="376"/>
    <x v="376"/>
    <d v="2023-04-25T03:33:47"/>
    <s v="Customer_53"/>
    <x v="2"/>
    <s v="Healthy"/>
    <x v="3"/>
    <n v="4"/>
    <n v="322"/>
    <x v="343"/>
    <n v="3"/>
    <x v="5"/>
  </r>
  <r>
    <n v="1378"/>
    <x v="377"/>
    <x v="377"/>
    <d v="2023-04-25T10:50:57"/>
    <s v="Customer_182"/>
    <x v="0"/>
    <s v="Healthy"/>
    <x v="2"/>
    <n v="2"/>
    <n v="965"/>
    <x v="344"/>
    <n v="10"/>
    <x v="6"/>
  </r>
  <r>
    <n v="1379"/>
    <x v="378"/>
    <x v="378"/>
    <d v="2023-04-25T18:08:06"/>
    <s v="Customer_287"/>
    <x v="3"/>
    <s v="Main Course"/>
    <x v="2"/>
    <n v="2"/>
    <n v="799"/>
    <x v="317"/>
    <n v="18"/>
    <x v="0"/>
  </r>
  <r>
    <n v="1380"/>
    <x v="379"/>
    <x v="379"/>
    <d v="2023-04-26T01:25:16"/>
    <s v="Customer_209"/>
    <x v="1"/>
    <s v="Healthy"/>
    <x v="8"/>
    <n v="5"/>
    <n v="547"/>
    <x v="345"/>
    <n v="1"/>
    <x v="1"/>
  </r>
  <r>
    <n v="1381"/>
    <x v="380"/>
    <x v="380"/>
    <d v="2023-04-26T08:42:26"/>
    <s v="Customer_80"/>
    <x v="2"/>
    <s v="Fast Food"/>
    <x v="4"/>
    <n v="2"/>
    <n v="955"/>
    <x v="346"/>
    <n v="8"/>
    <x v="2"/>
  </r>
  <r>
    <n v="1382"/>
    <x v="381"/>
    <x v="381"/>
    <d v="2023-04-26T15:59:36"/>
    <s v="Customer_122"/>
    <x v="1"/>
    <s v="Main Course"/>
    <x v="3"/>
    <n v="5"/>
    <n v="464"/>
    <x v="347"/>
    <n v="15"/>
    <x v="3"/>
  </r>
  <r>
    <n v="1383"/>
    <x v="382"/>
    <x v="382"/>
    <d v="2023-04-26T23:16:46"/>
    <s v="Customer_84"/>
    <x v="0"/>
    <s v="Asian"/>
    <x v="2"/>
    <n v="1"/>
    <n v="774"/>
    <x v="131"/>
    <n v="23"/>
    <x v="4"/>
  </r>
  <r>
    <n v="1384"/>
    <x v="383"/>
    <x v="383"/>
    <d v="2023-04-27T06:33:56"/>
    <s v="Customer_91"/>
    <x v="3"/>
    <s v="Healthy"/>
    <x v="5"/>
    <n v="4"/>
    <n v="425"/>
    <x v="348"/>
    <n v="6"/>
    <x v="5"/>
  </r>
  <r>
    <n v="1385"/>
    <x v="384"/>
    <x v="384"/>
    <d v="2023-04-27T13:51:06"/>
    <s v="Customer_212"/>
    <x v="0"/>
    <s v="Fast Food"/>
    <x v="6"/>
    <n v="5"/>
    <n v="566"/>
    <x v="37"/>
    <n v="13"/>
    <x v="6"/>
  </r>
  <r>
    <n v="1386"/>
    <x v="385"/>
    <x v="385"/>
    <d v="2023-04-27T21:08:15"/>
    <s v="Customer_13"/>
    <x v="0"/>
    <s v="Asian"/>
    <x v="6"/>
    <n v="1"/>
    <n v="513"/>
    <x v="349"/>
    <n v="21"/>
    <x v="0"/>
  </r>
  <r>
    <n v="1387"/>
    <x v="386"/>
    <x v="386"/>
    <d v="2023-04-28T04:25:25"/>
    <s v="Customer_92"/>
    <x v="2"/>
    <s v="Main Course"/>
    <x v="3"/>
    <n v="2"/>
    <n v="554"/>
    <x v="350"/>
    <n v="4"/>
    <x v="1"/>
  </r>
  <r>
    <n v="1388"/>
    <x v="387"/>
    <x v="387"/>
    <d v="2023-04-28T11:42:35"/>
    <s v="Customer_171"/>
    <x v="2"/>
    <s v="Main Course"/>
    <x v="2"/>
    <n v="2"/>
    <n v="685"/>
    <x v="351"/>
    <n v="11"/>
    <x v="2"/>
  </r>
  <r>
    <n v="1389"/>
    <x v="388"/>
    <x v="388"/>
    <d v="2023-04-28T18:59:45"/>
    <s v="Customer_211"/>
    <x v="0"/>
    <s v="Main Course"/>
    <x v="3"/>
    <n v="1"/>
    <n v="332"/>
    <x v="352"/>
    <n v="18"/>
    <x v="3"/>
  </r>
  <r>
    <n v="1390"/>
    <x v="389"/>
    <x v="389"/>
    <d v="2023-04-29T02:16:55"/>
    <s v="Customer_128"/>
    <x v="2"/>
    <s v="Fast Food"/>
    <x v="7"/>
    <n v="2"/>
    <n v="323"/>
    <x v="353"/>
    <n v="2"/>
    <x v="4"/>
  </r>
  <r>
    <n v="1391"/>
    <x v="390"/>
    <x v="390"/>
    <d v="2023-04-29T09:34:05"/>
    <s v="Customer_137"/>
    <x v="3"/>
    <s v="Asian"/>
    <x v="7"/>
    <n v="1"/>
    <n v="930"/>
    <x v="354"/>
    <n v="9"/>
    <x v="5"/>
  </r>
  <r>
    <n v="1392"/>
    <x v="391"/>
    <x v="391"/>
    <d v="2023-04-29T16:51:15"/>
    <s v="Customer_82"/>
    <x v="3"/>
    <s v="Main Course"/>
    <x v="4"/>
    <n v="5"/>
    <n v="511"/>
    <x v="355"/>
    <n v="16"/>
    <x v="6"/>
  </r>
  <r>
    <n v="1393"/>
    <x v="392"/>
    <x v="392"/>
    <d v="2023-04-30T00:08:24"/>
    <s v="Customer_56"/>
    <x v="0"/>
    <s v="Fast Food"/>
    <x v="8"/>
    <n v="5"/>
    <n v="671"/>
    <x v="356"/>
    <n v="0"/>
    <x v="0"/>
  </r>
  <r>
    <n v="1394"/>
    <x v="393"/>
    <x v="393"/>
    <d v="2023-04-30T07:25:34"/>
    <s v="Customer_196"/>
    <x v="3"/>
    <s v="Continental"/>
    <x v="2"/>
    <n v="1"/>
    <n v="434"/>
    <x v="112"/>
    <n v="7"/>
    <x v="1"/>
  </r>
  <r>
    <n v="1395"/>
    <x v="394"/>
    <x v="394"/>
    <d v="2023-04-30T14:42:44"/>
    <s v="Customer_20"/>
    <x v="0"/>
    <s v="Fast Food"/>
    <x v="2"/>
    <n v="5"/>
    <n v="321"/>
    <x v="357"/>
    <n v="14"/>
    <x v="2"/>
  </r>
  <r>
    <n v="1396"/>
    <x v="395"/>
    <x v="395"/>
    <d v="2023-04-30T21:59:54"/>
    <s v="Customer_241"/>
    <x v="3"/>
    <s v="Continental"/>
    <x v="0"/>
    <n v="5"/>
    <n v="136"/>
    <x v="280"/>
    <n v="21"/>
    <x v="3"/>
  </r>
  <r>
    <n v="1397"/>
    <x v="396"/>
    <x v="396"/>
    <d v="2023-05-01T05:17:04"/>
    <s v="Customer_114"/>
    <x v="1"/>
    <s v="Asian"/>
    <x v="5"/>
    <n v="5"/>
    <n v="377"/>
    <x v="358"/>
    <n v="5"/>
    <x v="4"/>
  </r>
  <r>
    <n v="1398"/>
    <x v="397"/>
    <x v="397"/>
    <d v="2023-05-01T12:34:14"/>
    <s v="Customer_103"/>
    <x v="0"/>
    <s v="Main Course"/>
    <x v="5"/>
    <n v="3"/>
    <n v="295"/>
    <x v="359"/>
    <n v="12"/>
    <x v="5"/>
  </r>
  <r>
    <n v="1399"/>
    <x v="398"/>
    <x v="398"/>
    <d v="2023-05-01T19:51:24"/>
    <s v="Customer_236"/>
    <x v="3"/>
    <s v="Main Course"/>
    <x v="2"/>
    <n v="4"/>
    <n v="963"/>
    <x v="360"/>
    <n v="19"/>
    <x v="6"/>
  </r>
  <r>
    <n v="1400"/>
    <x v="399"/>
    <x v="399"/>
    <d v="2023-05-02T03:08:33"/>
    <s v="Customer_180"/>
    <x v="1"/>
    <s v="Healthy"/>
    <x v="7"/>
    <n v="2"/>
    <n v="583"/>
    <x v="361"/>
    <n v="3"/>
    <x v="0"/>
  </r>
  <r>
    <n v="1401"/>
    <x v="400"/>
    <x v="400"/>
    <d v="2023-05-02T10:25:43"/>
    <s v="Customer_157"/>
    <x v="0"/>
    <s v="Main Course"/>
    <x v="8"/>
    <n v="3"/>
    <n v="341"/>
    <x v="362"/>
    <n v="10"/>
    <x v="1"/>
  </r>
  <r>
    <n v="1402"/>
    <x v="401"/>
    <x v="401"/>
    <d v="2023-05-02T17:42:53"/>
    <s v="Customer_117"/>
    <x v="3"/>
    <s v="Asian"/>
    <x v="9"/>
    <n v="5"/>
    <n v="423"/>
    <x v="186"/>
    <n v="17"/>
    <x v="2"/>
  </r>
  <r>
    <n v="1403"/>
    <x v="402"/>
    <x v="402"/>
    <d v="2023-05-03T01:00:03"/>
    <s v="Customer_115"/>
    <x v="3"/>
    <s v="Fast Food"/>
    <x v="3"/>
    <n v="1"/>
    <n v="830"/>
    <x v="363"/>
    <n v="1"/>
    <x v="3"/>
  </r>
  <r>
    <n v="1404"/>
    <x v="403"/>
    <x v="403"/>
    <d v="2023-05-03T08:17:13"/>
    <s v="Customer_13"/>
    <x v="1"/>
    <s v="Asian"/>
    <x v="9"/>
    <n v="5"/>
    <n v="291"/>
    <x v="364"/>
    <n v="8"/>
    <x v="4"/>
  </r>
  <r>
    <n v="1405"/>
    <x v="404"/>
    <x v="404"/>
    <d v="2023-05-03T15:34:23"/>
    <s v="Customer_99"/>
    <x v="2"/>
    <s v="Main Course"/>
    <x v="1"/>
    <n v="4"/>
    <n v="116"/>
    <x v="51"/>
    <n v="15"/>
    <x v="5"/>
  </r>
  <r>
    <n v="1406"/>
    <x v="405"/>
    <x v="405"/>
    <d v="2023-05-03T22:51:33"/>
    <s v="Customer_205"/>
    <x v="2"/>
    <s v="Fast Food"/>
    <x v="7"/>
    <n v="5"/>
    <n v="623"/>
    <x v="365"/>
    <n v="22"/>
    <x v="6"/>
  </r>
  <r>
    <n v="1407"/>
    <x v="406"/>
    <x v="406"/>
    <d v="2023-05-04T06:08:42"/>
    <s v="Customer_169"/>
    <x v="1"/>
    <s v="Asian"/>
    <x v="0"/>
    <n v="1"/>
    <n v="500"/>
    <x v="366"/>
    <n v="6"/>
    <x v="0"/>
  </r>
  <r>
    <n v="1408"/>
    <x v="407"/>
    <x v="407"/>
    <d v="2023-05-04T13:25:52"/>
    <s v="Customer_143"/>
    <x v="1"/>
    <s v="Main Course"/>
    <x v="6"/>
    <n v="4"/>
    <n v="985"/>
    <x v="367"/>
    <n v="13"/>
    <x v="1"/>
  </r>
  <r>
    <n v="1409"/>
    <x v="408"/>
    <x v="408"/>
    <d v="2023-05-04T20:43:02"/>
    <s v="Customer_36"/>
    <x v="0"/>
    <s v="Main Course"/>
    <x v="4"/>
    <n v="5"/>
    <n v="804"/>
    <x v="368"/>
    <n v="20"/>
    <x v="2"/>
  </r>
  <r>
    <n v="1410"/>
    <x v="409"/>
    <x v="409"/>
    <d v="2023-05-05T04:00:12"/>
    <s v="Customer_143"/>
    <x v="2"/>
    <s v="Main Course"/>
    <x v="4"/>
    <n v="4"/>
    <n v="121"/>
    <x v="369"/>
    <n v="4"/>
    <x v="3"/>
  </r>
  <r>
    <n v="1411"/>
    <x v="410"/>
    <x v="410"/>
    <d v="2023-05-05T11:17:22"/>
    <s v="Customer_180"/>
    <x v="0"/>
    <s v="Healthy"/>
    <x v="7"/>
    <n v="2"/>
    <n v="573"/>
    <x v="370"/>
    <n v="11"/>
    <x v="4"/>
  </r>
  <r>
    <n v="1412"/>
    <x v="411"/>
    <x v="411"/>
    <d v="2023-05-05T18:34:32"/>
    <s v="Customer_261"/>
    <x v="3"/>
    <s v="Healthy"/>
    <x v="1"/>
    <n v="2"/>
    <n v="219"/>
    <x v="83"/>
    <n v="18"/>
    <x v="5"/>
  </r>
  <r>
    <n v="1413"/>
    <x v="412"/>
    <x v="412"/>
    <d v="2023-05-06T01:51:42"/>
    <s v="Customer_205"/>
    <x v="1"/>
    <s v="Healthy"/>
    <x v="4"/>
    <n v="5"/>
    <n v="309"/>
    <x v="371"/>
    <n v="1"/>
    <x v="6"/>
  </r>
  <r>
    <n v="1414"/>
    <x v="413"/>
    <x v="413"/>
    <d v="2023-05-06T09:08:51"/>
    <s v="Customer_275"/>
    <x v="0"/>
    <s v="Fast Food"/>
    <x v="3"/>
    <n v="4"/>
    <n v="405"/>
    <x v="372"/>
    <n v="9"/>
    <x v="0"/>
  </r>
  <r>
    <n v="1415"/>
    <x v="414"/>
    <x v="414"/>
    <d v="2023-05-06T16:26:01"/>
    <s v="Customer_170"/>
    <x v="1"/>
    <s v="Asian"/>
    <x v="4"/>
    <n v="1"/>
    <n v="369"/>
    <x v="373"/>
    <n v="16"/>
    <x v="1"/>
  </r>
  <r>
    <n v="1416"/>
    <x v="415"/>
    <x v="415"/>
    <d v="2023-05-06T23:43:11"/>
    <s v="Customer_15"/>
    <x v="0"/>
    <s v="Fast Food"/>
    <x v="2"/>
    <n v="5"/>
    <n v="803"/>
    <x v="374"/>
    <n v="23"/>
    <x v="2"/>
  </r>
  <r>
    <n v="1417"/>
    <x v="416"/>
    <x v="416"/>
    <d v="2023-05-07T07:00:21"/>
    <s v="Customer_60"/>
    <x v="3"/>
    <s v="Fast Food"/>
    <x v="7"/>
    <n v="2"/>
    <n v="786"/>
    <x v="375"/>
    <n v="7"/>
    <x v="3"/>
  </r>
  <r>
    <n v="1418"/>
    <x v="417"/>
    <x v="417"/>
    <d v="2023-05-07T14:17:31"/>
    <s v="Customer_134"/>
    <x v="3"/>
    <s v="Main Course"/>
    <x v="1"/>
    <n v="2"/>
    <n v="384"/>
    <x v="376"/>
    <n v="14"/>
    <x v="4"/>
  </r>
  <r>
    <n v="1419"/>
    <x v="418"/>
    <x v="418"/>
    <d v="2023-05-07T21:34:41"/>
    <s v="Customer_92"/>
    <x v="2"/>
    <s v="Continental"/>
    <x v="8"/>
    <n v="5"/>
    <n v="815"/>
    <x v="377"/>
    <n v="21"/>
    <x v="5"/>
  </r>
  <r>
    <n v="1420"/>
    <x v="419"/>
    <x v="419"/>
    <d v="2023-05-08T04:51:51"/>
    <s v="Customer_298"/>
    <x v="2"/>
    <s v="Continental"/>
    <x v="6"/>
    <n v="4"/>
    <n v="775"/>
    <x v="378"/>
    <n v="4"/>
    <x v="6"/>
  </r>
  <r>
    <n v="1421"/>
    <x v="420"/>
    <x v="420"/>
    <d v="2023-05-08T12:09:00"/>
    <s v="Customer_136"/>
    <x v="3"/>
    <s v="Main Course"/>
    <x v="7"/>
    <n v="2"/>
    <n v="862"/>
    <x v="379"/>
    <n v="12"/>
    <x v="0"/>
  </r>
  <r>
    <n v="1422"/>
    <x v="421"/>
    <x v="421"/>
    <d v="2023-05-08T19:26:10"/>
    <s v="Customer_20"/>
    <x v="0"/>
    <s v="Continental"/>
    <x v="3"/>
    <n v="4"/>
    <n v="326"/>
    <x v="22"/>
    <n v="19"/>
    <x v="1"/>
  </r>
  <r>
    <n v="1423"/>
    <x v="422"/>
    <x v="422"/>
    <d v="2023-05-09T02:43:20"/>
    <s v="Customer_56"/>
    <x v="1"/>
    <s v="Fast Food"/>
    <x v="3"/>
    <n v="2"/>
    <n v="480"/>
    <x v="215"/>
    <n v="2"/>
    <x v="2"/>
  </r>
  <r>
    <n v="1424"/>
    <x v="423"/>
    <x v="423"/>
    <d v="2023-05-09T10:00:30"/>
    <s v="Customer_223"/>
    <x v="3"/>
    <s v="Asian"/>
    <x v="6"/>
    <n v="2"/>
    <n v="559"/>
    <x v="380"/>
    <n v="10"/>
    <x v="3"/>
  </r>
  <r>
    <n v="1425"/>
    <x v="424"/>
    <x v="424"/>
    <d v="2023-05-09T17:17:40"/>
    <s v="Customer_177"/>
    <x v="3"/>
    <s v="Healthy"/>
    <x v="5"/>
    <n v="3"/>
    <n v="106"/>
    <x v="318"/>
    <n v="17"/>
    <x v="4"/>
  </r>
  <r>
    <n v="1426"/>
    <x v="425"/>
    <x v="425"/>
    <d v="2023-05-10T00:34:50"/>
    <s v="Customer_161"/>
    <x v="0"/>
    <s v="Fast Food"/>
    <x v="9"/>
    <n v="2"/>
    <n v="128"/>
    <x v="381"/>
    <n v="0"/>
    <x v="5"/>
  </r>
  <r>
    <n v="1427"/>
    <x v="426"/>
    <x v="426"/>
    <d v="2023-05-10T07:52:00"/>
    <s v="Customer_224"/>
    <x v="3"/>
    <s v="Fast Food"/>
    <x v="3"/>
    <n v="1"/>
    <n v="132"/>
    <x v="382"/>
    <n v="7"/>
    <x v="6"/>
  </r>
  <r>
    <n v="1428"/>
    <x v="427"/>
    <x v="427"/>
    <d v="2023-05-10T15:09:09"/>
    <s v="Customer_262"/>
    <x v="3"/>
    <s v="Asian"/>
    <x v="8"/>
    <n v="5"/>
    <n v="745"/>
    <x v="383"/>
    <n v="15"/>
    <x v="0"/>
  </r>
  <r>
    <n v="1429"/>
    <x v="428"/>
    <x v="428"/>
    <d v="2023-05-10T22:26:19"/>
    <s v="Customer_60"/>
    <x v="0"/>
    <s v="Continental"/>
    <x v="5"/>
    <n v="5"/>
    <n v="978"/>
    <x v="384"/>
    <n v="22"/>
    <x v="1"/>
  </r>
  <r>
    <n v="1430"/>
    <x v="429"/>
    <x v="429"/>
    <d v="2023-05-11T05:43:29"/>
    <s v="Customer_198"/>
    <x v="3"/>
    <s v="Asian"/>
    <x v="8"/>
    <n v="4"/>
    <n v="178"/>
    <x v="385"/>
    <n v="5"/>
    <x v="2"/>
  </r>
  <r>
    <n v="1431"/>
    <x v="430"/>
    <x v="430"/>
    <d v="2023-05-11T13:00:39"/>
    <s v="Customer_296"/>
    <x v="2"/>
    <s v="Fast Food"/>
    <x v="5"/>
    <n v="2"/>
    <n v="558"/>
    <x v="386"/>
    <n v="13"/>
    <x v="3"/>
  </r>
  <r>
    <n v="1432"/>
    <x v="431"/>
    <x v="431"/>
    <d v="2023-05-11T20:17:49"/>
    <s v="Customer_98"/>
    <x v="2"/>
    <s v="Main Course"/>
    <x v="1"/>
    <n v="1"/>
    <n v="669"/>
    <x v="387"/>
    <n v="20"/>
    <x v="4"/>
  </r>
  <r>
    <n v="1433"/>
    <x v="432"/>
    <x v="432"/>
    <d v="2023-05-12T03:34:59"/>
    <s v="Customer_131"/>
    <x v="2"/>
    <s v="Main Course"/>
    <x v="6"/>
    <n v="4"/>
    <n v="637"/>
    <x v="100"/>
    <n v="3"/>
    <x v="5"/>
  </r>
  <r>
    <n v="1434"/>
    <x v="433"/>
    <x v="433"/>
    <d v="2023-05-12T10:52:09"/>
    <s v="Customer_23"/>
    <x v="2"/>
    <s v="Fast Food"/>
    <x v="3"/>
    <n v="3"/>
    <n v="581"/>
    <x v="388"/>
    <n v="10"/>
    <x v="6"/>
  </r>
  <r>
    <n v="1435"/>
    <x v="434"/>
    <x v="434"/>
    <d v="2023-05-12T18:09:18"/>
    <s v="Customer_224"/>
    <x v="3"/>
    <s v="Main Course"/>
    <x v="5"/>
    <n v="4"/>
    <n v="529"/>
    <x v="389"/>
    <n v="18"/>
    <x v="0"/>
  </r>
  <r>
    <n v="1436"/>
    <x v="435"/>
    <x v="435"/>
    <d v="2023-05-13T01:26:28"/>
    <s v="Customer_1"/>
    <x v="1"/>
    <s v="Continental"/>
    <x v="9"/>
    <n v="4"/>
    <n v="837"/>
    <x v="264"/>
    <n v="1"/>
    <x v="1"/>
  </r>
  <r>
    <n v="1437"/>
    <x v="436"/>
    <x v="436"/>
    <d v="2023-05-13T08:43:38"/>
    <s v="Customer_267"/>
    <x v="2"/>
    <s v="Asian"/>
    <x v="6"/>
    <n v="2"/>
    <n v="384"/>
    <x v="376"/>
    <n v="8"/>
    <x v="2"/>
  </r>
  <r>
    <n v="1438"/>
    <x v="437"/>
    <x v="437"/>
    <d v="2023-05-13T16:00:48"/>
    <s v="Customer_276"/>
    <x v="2"/>
    <s v="Healthy"/>
    <x v="9"/>
    <n v="3"/>
    <n v="615"/>
    <x v="390"/>
    <n v="16"/>
    <x v="3"/>
  </r>
  <r>
    <n v="1439"/>
    <x v="438"/>
    <x v="438"/>
    <d v="2023-05-13T23:17:58"/>
    <s v="Customer_101"/>
    <x v="3"/>
    <s v="Asian"/>
    <x v="9"/>
    <n v="4"/>
    <n v="198"/>
    <x v="391"/>
    <n v="23"/>
    <x v="4"/>
  </r>
  <r>
    <n v="1440"/>
    <x v="439"/>
    <x v="439"/>
    <d v="2023-05-14T06:35:08"/>
    <s v="Customer_187"/>
    <x v="3"/>
    <s v="Healthy"/>
    <x v="7"/>
    <n v="1"/>
    <n v="496"/>
    <x v="56"/>
    <n v="6"/>
    <x v="5"/>
  </r>
  <r>
    <n v="1441"/>
    <x v="440"/>
    <x v="440"/>
    <d v="2023-05-14T13:52:18"/>
    <s v="Customer_221"/>
    <x v="0"/>
    <s v="Fast Food"/>
    <x v="1"/>
    <n v="1"/>
    <n v="588"/>
    <x v="392"/>
    <n v="13"/>
    <x v="6"/>
  </r>
  <r>
    <n v="1442"/>
    <x v="441"/>
    <x v="441"/>
    <d v="2023-05-14T21:09:27"/>
    <s v="Customer_36"/>
    <x v="2"/>
    <s v="Fast Food"/>
    <x v="6"/>
    <n v="5"/>
    <n v="138"/>
    <x v="393"/>
    <n v="21"/>
    <x v="0"/>
  </r>
  <r>
    <n v="1443"/>
    <x v="442"/>
    <x v="442"/>
    <d v="2023-05-15T04:26:37"/>
    <s v="Customer_170"/>
    <x v="0"/>
    <s v="Healthy"/>
    <x v="6"/>
    <n v="3"/>
    <n v="370"/>
    <x v="394"/>
    <n v="4"/>
    <x v="1"/>
  </r>
  <r>
    <n v="1444"/>
    <x v="443"/>
    <x v="443"/>
    <d v="2023-05-15T11:43:47"/>
    <s v="Customer_161"/>
    <x v="2"/>
    <s v="Main Course"/>
    <x v="2"/>
    <n v="3"/>
    <n v="986"/>
    <x v="395"/>
    <n v="11"/>
    <x v="2"/>
  </r>
  <r>
    <n v="1445"/>
    <x v="444"/>
    <x v="444"/>
    <d v="2023-05-15T19:00:57"/>
    <s v="Customer_64"/>
    <x v="1"/>
    <s v="Fast Food"/>
    <x v="5"/>
    <n v="5"/>
    <n v="896"/>
    <x v="396"/>
    <n v="19"/>
    <x v="3"/>
  </r>
  <r>
    <n v="1446"/>
    <x v="445"/>
    <x v="445"/>
    <d v="2023-05-16T02:18:07"/>
    <s v="Customer_154"/>
    <x v="3"/>
    <s v="Continental"/>
    <x v="1"/>
    <n v="4"/>
    <n v="256"/>
    <x v="397"/>
    <n v="2"/>
    <x v="4"/>
  </r>
  <r>
    <n v="1447"/>
    <x v="446"/>
    <x v="446"/>
    <d v="2023-05-16T09:35:17"/>
    <s v="Customer_260"/>
    <x v="3"/>
    <s v="Continental"/>
    <x v="1"/>
    <n v="3"/>
    <n v="174"/>
    <x v="398"/>
    <n v="9"/>
    <x v="5"/>
  </r>
  <r>
    <n v="1448"/>
    <x v="447"/>
    <x v="447"/>
    <d v="2023-05-16T16:52:27"/>
    <s v="Customer_159"/>
    <x v="0"/>
    <s v="Continental"/>
    <x v="6"/>
    <n v="1"/>
    <n v="983"/>
    <x v="399"/>
    <n v="16"/>
    <x v="6"/>
  </r>
  <r>
    <n v="1449"/>
    <x v="448"/>
    <x v="448"/>
    <d v="2023-05-17T00:09:36"/>
    <s v="Customer_210"/>
    <x v="0"/>
    <s v="Continental"/>
    <x v="4"/>
    <n v="1"/>
    <n v="899"/>
    <x v="400"/>
    <n v="0"/>
    <x v="0"/>
  </r>
  <r>
    <n v="1450"/>
    <x v="449"/>
    <x v="449"/>
    <d v="2023-05-17T07:26:46"/>
    <s v="Customer_168"/>
    <x v="3"/>
    <s v="Healthy"/>
    <x v="0"/>
    <n v="2"/>
    <n v="229"/>
    <x v="177"/>
    <n v="7"/>
    <x v="1"/>
  </r>
  <r>
    <n v="1451"/>
    <x v="450"/>
    <x v="450"/>
    <d v="2023-05-17T14:43:56"/>
    <s v="Customer_207"/>
    <x v="3"/>
    <s v="Main Course"/>
    <x v="1"/>
    <n v="3"/>
    <n v="786"/>
    <x v="401"/>
    <n v="14"/>
    <x v="2"/>
  </r>
  <r>
    <n v="1452"/>
    <x v="451"/>
    <x v="451"/>
    <d v="2023-05-17T22:01:06"/>
    <s v="Customer_152"/>
    <x v="3"/>
    <s v="Healthy"/>
    <x v="2"/>
    <n v="4"/>
    <n v="183"/>
    <x v="402"/>
    <n v="22"/>
    <x v="3"/>
  </r>
  <r>
    <n v="1453"/>
    <x v="452"/>
    <x v="452"/>
    <d v="2023-05-18T05:18:16"/>
    <s v="Customer_284"/>
    <x v="2"/>
    <s v="Fast Food"/>
    <x v="0"/>
    <n v="5"/>
    <n v="121"/>
    <x v="403"/>
    <n v="5"/>
    <x v="4"/>
  </r>
  <r>
    <n v="1454"/>
    <x v="453"/>
    <x v="453"/>
    <d v="2023-05-18T12:35:26"/>
    <s v="Customer_66"/>
    <x v="2"/>
    <s v="Continental"/>
    <x v="3"/>
    <n v="5"/>
    <n v="558"/>
    <x v="404"/>
    <n v="12"/>
    <x v="5"/>
  </r>
  <r>
    <n v="1455"/>
    <x v="454"/>
    <x v="454"/>
    <d v="2023-05-18T19:52:36"/>
    <s v="Customer_99"/>
    <x v="1"/>
    <s v="Continental"/>
    <x v="9"/>
    <n v="4"/>
    <n v="638"/>
    <x v="405"/>
    <n v="19"/>
    <x v="6"/>
  </r>
  <r>
    <n v="1456"/>
    <x v="455"/>
    <x v="455"/>
    <d v="2023-05-19T03:09:45"/>
    <s v="Customer_216"/>
    <x v="2"/>
    <s v="Continental"/>
    <x v="9"/>
    <n v="2"/>
    <n v="806"/>
    <x v="406"/>
    <n v="3"/>
    <x v="0"/>
  </r>
  <r>
    <n v="1457"/>
    <x v="456"/>
    <x v="456"/>
    <d v="2023-05-19T10:26:55"/>
    <s v="Customer_195"/>
    <x v="3"/>
    <s v="Fast Food"/>
    <x v="1"/>
    <n v="5"/>
    <n v="948"/>
    <x v="407"/>
    <n v="10"/>
    <x v="1"/>
  </r>
  <r>
    <n v="1458"/>
    <x v="457"/>
    <x v="457"/>
    <d v="2023-05-19T17:44:05"/>
    <s v="Customer_90"/>
    <x v="2"/>
    <s v="Asian"/>
    <x v="6"/>
    <n v="3"/>
    <n v="481"/>
    <x v="408"/>
    <n v="17"/>
    <x v="2"/>
  </r>
  <r>
    <n v="1459"/>
    <x v="458"/>
    <x v="458"/>
    <d v="2023-05-20T01:01:15"/>
    <s v="Customer_292"/>
    <x v="0"/>
    <s v="Healthy"/>
    <x v="5"/>
    <n v="2"/>
    <n v="847"/>
    <x v="173"/>
    <n v="1"/>
    <x v="3"/>
  </r>
  <r>
    <n v="1460"/>
    <x v="459"/>
    <x v="459"/>
    <d v="2023-05-20T08:18:25"/>
    <s v="Customer_155"/>
    <x v="3"/>
    <s v="Main Course"/>
    <x v="0"/>
    <n v="3"/>
    <n v="539"/>
    <x v="409"/>
    <n v="8"/>
    <x v="4"/>
  </r>
  <r>
    <n v="1461"/>
    <x v="460"/>
    <x v="460"/>
    <d v="2023-05-20T15:35:35"/>
    <s v="Customer_208"/>
    <x v="2"/>
    <s v="Fast Food"/>
    <x v="5"/>
    <n v="1"/>
    <n v="703"/>
    <x v="410"/>
    <n v="15"/>
    <x v="5"/>
  </r>
  <r>
    <n v="1462"/>
    <x v="461"/>
    <x v="461"/>
    <d v="2023-05-20T22:52:45"/>
    <s v="Customer_281"/>
    <x v="3"/>
    <s v="Asian"/>
    <x v="2"/>
    <n v="2"/>
    <n v="120"/>
    <x v="162"/>
    <n v="22"/>
    <x v="6"/>
  </r>
  <r>
    <n v="1463"/>
    <x v="462"/>
    <x v="462"/>
    <d v="2023-05-21T06:09:54"/>
    <s v="Customer_1"/>
    <x v="0"/>
    <s v="Asian"/>
    <x v="5"/>
    <n v="5"/>
    <n v="402"/>
    <x v="212"/>
    <n v="6"/>
    <x v="0"/>
  </r>
  <r>
    <n v="1464"/>
    <x v="463"/>
    <x v="463"/>
    <d v="2023-05-21T13:27:04"/>
    <s v="Customer_156"/>
    <x v="0"/>
    <s v="Main Course"/>
    <x v="4"/>
    <n v="2"/>
    <n v="968"/>
    <x v="411"/>
    <n v="13"/>
    <x v="1"/>
  </r>
  <r>
    <n v="1465"/>
    <x v="464"/>
    <x v="464"/>
    <d v="2023-05-21T20:44:14"/>
    <s v="Customer_147"/>
    <x v="2"/>
    <s v="Fast Food"/>
    <x v="4"/>
    <n v="2"/>
    <n v="183"/>
    <x v="412"/>
    <n v="20"/>
    <x v="2"/>
  </r>
  <r>
    <n v="1466"/>
    <x v="465"/>
    <x v="465"/>
    <d v="2023-05-22T04:01:24"/>
    <s v="Customer_108"/>
    <x v="3"/>
    <s v="Asian"/>
    <x v="4"/>
    <n v="2"/>
    <n v="873"/>
    <x v="413"/>
    <n v="4"/>
    <x v="3"/>
  </r>
  <r>
    <n v="1467"/>
    <x v="466"/>
    <x v="466"/>
    <d v="2023-05-22T11:18:34"/>
    <s v="Customer_221"/>
    <x v="1"/>
    <s v="Continental"/>
    <x v="6"/>
    <n v="2"/>
    <n v="758"/>
    <x v="414"/>
    <n v="11"/>
    <x v="4"/>
  </r>
  <r>
    <n v="1468"/>
    <x v="467"/>
    <x v="467"/>
    <d v="2023-05-22T18:35:44"/>
    <s v="Customer_297"/>
    <x v="0"/>
    <s v="Main Course"/>
    <x v="0"/>
    <n v="3"/>
    <n v="552"/>
    <x v="415"/>
    <n v="18"/>
    <x v="5"/>
  </r>
  <r>
    <n v="1469"/>
    <x v="468"/>
    <x v="468"/>
    <d v="2023-05-23T01:52:54"/>
    <s v="Customer_165"/>
    <x v="1"/>
    <s v="Continental"/>
    <x v="2"/>
    <n v="1"/>
    <n v="486"/>
    <x v="416"/>
    <n v="1"/>
    <x v="6"/>
  </r>
  <r>
    <n v="1470"/>
    <x v="469"/>
    <x v="469"/>
    <d v="2023-05-23T09:10:04"/>
    <s v="Customer_239"/>
    <x v="2"/>
    <s v="Main Course"/>
    <x v="9"/>
    <n v="4"/>
    <n v="606"/>
    <x v="42"/>
    <n v="9"/>
    <x v="0"/>
  </r>
  <r>
    <n v="1471"/>
    <x v="470"/>
    <x v="470"/>
    <d v="2023-05-23T16:27:13"/>
    <s v="Customer_227"/>
    <x v="0"/>
    <s v="Healthy"/>
    <x v="9"/>
    <n v="2"/>
    <n v="356"/>
    <x v="385"/>
    <n v="16"/>
    <x v="1"/>
  </r>
  <r>
    <n v="1472"/>
    <x v="471"/>
    <x v="471"/>
    <d v="2023-05-23T23:44:23"/>
    <s v="Customer_227"/>
    <x v="1"/>
    <s v="Healthy"/>
    <x v="5"/>
    <n v="5"/>
    <n v="669"/>
    <x v="417"/>
    <n v="23"/>
    <x v="2"/>
  </r>
  <r>
    <n v="1473"/>
    <x v="472"/>
    <x v="472"/>
    <d v="2023-05-24T07:01:33"/>
    <s v="Customer_110"/>
    <x v="0"/>
    <s v="Fast Food"/>
    <x v="5"/>
    <n v="2"/>
    <n v="991"/>
    <x v="418"/>
    <n v="7"/>
    <x v="3"/>
  </r>
  <r>
    <n v="1474"/>
    <x v="473"/>
    <x v="473"/>
    <d v="2023-05-24T14:18:43"/>
    <s v="Customer_262"/>
    <x v="1"/>
    <s v="Asian"/>
    <x v="2"/>
    <n v="5"/>
    <n v="626"/>
    <x v="419"/>
    <n v="14"/>
    <x v="4"/>
  </r>
  <r>
    <n v="1475"/>
    <x v="474"/>
    <x v="474"/>
    <d v="2023-05-24T21:35:53"/>
    <s v="Customer_243"/>
    <x v="3"/>
    <s v="Continental"/>
    <x v="7"/>
    <n v="3"/>
    <n v="261"/>
    <x v="420"/>
    <n v="21"/>
    <x v="5"/>
  </r>
  <r>
    <n v="1476"/>
    <x v="475"/>
    <x v="475"/>
    <d v="2023-05-25T04:53:03"/>
    <s v="Customer_87"/>
    <x v="3"/>
    <s v="Asian"/>
    <x v="2"/>
    <n v="5"/>
    <n v="262"/>
    <x v="421"/>
    <n v="4"/>
    <x v="6"/>
  </r>
  <r>
    <n v="1477"/>
    <x v="476"/>
    <x v="476"/>
    <d v="2023-05-25T12:10:13"/>
    <s v="Customer_44"/>
    <x v="2"/>
    <s v="Healthy"/>
    <x v="5"/>
    <n v="4"/>
    <n v="931"/>
    <x v="422"/>
    <n v="12"/>
    <x v="0"/>
  </r>
  <r>
    <n v="1478"/>
    <x v="477"/>
    <x v="477"/>
    <d v="2023-05-25T19:27:22"/>
    <s v="Customer_146"/>
    <x v="0"/>
    <s v="Continental"/>
    <x v="3"/>
    <n v="1"/>
    <n v="892"/>
    <x v="423"/>
    <n v="19"/>
    <x v="1"/>
  </r>
  <r>
    <n v="1479"/>
    <x v="478"/>
    <x v="478"/>
    <d v="2023-05-26T02:44:32"/>
    <s v="Customer_264"/>
    <x v="1"/>
    <s v="Fast Food"/>
    <x v="6"/>
    <n v="5"/>
    <n v="891"/>
    <x v="424"/>
    <n v="2"/>
    <x v="2"/>
  </r>
  <r>
    <n v="1480"/>
    <x v="479"/>
    <x v="479"/>
    <d v="2023-05-26T10:01:42"/>
    <s v="Customer_172"/>
    <x v="2"/>
    <s v="Asian"/>
    <x v="6"/>
    <n v="5"/>
    <n v="623"/>
    <x v="365"/>
    <n v="10"/>
    <x v="3"/>
  </r>
  <r>
    <n v="1481"/>
    <x v="480"/>
    <x v="480"/>
    <d v="2023-05-26T17:18:52"/>
    <s v="Customer_48"/>
    <x v="3"/>
    <s v="Main Course"/>
    <x v="1"/>
    <n v="1"/>
    <n v="885"/>
    <x v="359"/>
    <n v="17"/>
    <x v="4"/>
  </r>
  <r>
    <n v="1482"/>
    <x v="481"/>
    <x v="481"/>
    <d v="2023-05-27T00:36:02"/>
    <s v="Customer_121"/>
    <x v="3"/>
    <s v="Main Course"/>
    <x v="5"/>
    <n v="4"/>
    <n v="370"/>
    <x v="425"/>
    <n v="0"/>
    <x v="5"/>
  </r>
  <r>
    <n v="1483"/>
    <x v="482"/>
    <x v="482"/>
    <d v="2023-05-27T07:53:12"/>
    <s v="Customer_159"/>
    <x v="2"/>
    <s v="Continental"/>
    <x v="0"/>
    <n v="2"/>
    <n v="591"/>
    <x v="336"/>
    <n v="7"/>
    <x v="6"/>
  </r>
  <r>
    <n v="1484"/>
    <x v="483"/>
    <x v="483"/>
    <d v="2023-05-27T15:10:22"/>
    <s v="Customer_116"/>
    <x v="0"/>
    <s v="Main Course"/>
    <x v="1"/>
    <n v="5"/>
    <n v="307"/>
    <x v="426"/>
    <n v="15"/>
    <x v="0"/>
  </r>
  <r>
    <n v="1485"/>
    <x v="484"/>
    <x v="484"/>
    <d v="2023-05-27T22:27:31"/>
    <s v="Customer_102"/>
    <x v="1"/>
    <s v="Main Course"/>
    <x v="8"/>
    <n v="1"/>
    <n v="638"/>
    <x v="427"/>
    <n v="22"/>
    <x v="1"/>
  </r>
  <r>
    <n v="1486"/>
    <x v="485"/>
    <x v="485"/>
    <d v="2023-05-28T05:44:41"/>
    <s v="Customer_76"/>
    <x v="3"/>
    <s v="Healthy"/>
    <x v="5"/>
    <n v="3"/>
    <n v="683"/>
    <x v="428"/>
    <n v="5"/>
    <x v="2"/>
  </r>
  <r>
    <n v="1487"/>
    <x v="486"/>
    <x v="486"/>
    <d v="2023-05-28T13:01:51"/>
    <s v="Customer_13"/>
    <x v="2"/>
    <s v="Fast Food"/>
    <x v="7"/>
    <n v="1"/>
    <n v="159"/>
    <x v="429"/>
    <n v="13"/>
    <x v="3"/>
  </r>
  <r>
    <n v="1488"/>
    <x v="487"/>
    <x v="487"/>
    <d v="2023-05-28T20:19:01"/>
    <s v="Customer_24"/>
    <x v="3"/>
    <s v="Main Course"/>
    <x v="8"/>
    <n v="3"/>
    <n v="529"/>
    <x v="430"/>
    <n v="20"/>
    <x v="4"/>
  </r>
  <r>
    <n v="1489"/>
    <x v="488"/>
    <x v="488"/>
    <d v="2023-05-29T03:36:11"/>
    <s v="Customer_126"/>
    <x v="3"/>
    <s v="Main Course"/>
    <x v="1"/>
    <n v="4"/>
    <n v="756"/>
    <x v="431"/>
    <n v="3"/>
    <x v="5"/>
  </r>
  <r>
    <n v="1490"/>
    <x v="489"/>
    <x v="489"/>
    <d v="2023-05-29T10:53:21"/>
    <s v="Customer_244"/>
    <x v="1"/>
    <s v="Asian"/>
    <x v="9"/>
    <n v="2"/>
    <n v="704"/>
    <x v="432"/>
    <n v="10"/>
    <x v="6"/>
  </r>
  <r>
    <n v="1491"/>
    <x v="490"/>
    <x v="490"/>
    <d v="2023-05-29T18:10:31"/>
    <s v="Customer_38"/>
    <x v="0"/>
    <s v="Continental"/>
    <x v="8"/>
    <n v="1"/>
    <n v="408"/>
    <x v="433"/>
    <n v="18"/>
    <x v="0"/>
  </r>
  <r>
    <n v="1492"/>
    <x v="491"/>
    <x v="491"/>
    <d v="2023-05-30T01:27:40"/>
    <s v="Customer_234"/>
    <x v="0"/>
    <s v="Healthy"/>
    <x v="8"/>
    <n v="5"/>
    <n v="619"/>
    <x v="434"/>
    <n v="1"/>
    <x v="1"/>
  </r>
  <r>
    <n v="1493"/>
    <x v="492"/>
    <x v="492"/>
    <d v="2023-05-30T08:44:50"/>
    <s v="Customer_213"/>
    <x v="1"/>
    <s v="Continental"/>
    <x v="4"/>
    <n v="4"/>
    <n v="690"/>
    <x v="435"/>
    <n v="8"/>
    <x v="2"/>
  </r>
  <r>
    <n v="1494"/>
    <x v="493"/>
    <x v="493"/>
    <d v="2023-05-30T16:02:00"/>
    <s v="Customer_295"/>
    <x v="2"/>
    <s v="Asian"/>
    <x v="0"/>
    <n v="1"/>
    <n v="126"/>
    <x v="436"/>
    <n v="16"/>
    <x v="3"/>
  </r>
  <r>
    <n v="1495"/>
    <x v="494"/>
    <x v="494"/>
    <d v="2023-05-30T23:19:10"/>
    <s v="Customer_100"/>
    <x v="2"/>
    <s v="Asian"/>
    <x v="9"/>
    <n v="5"/>
    <n v="785"/>
    <x v="437"/>
    <n v="23"/>
    <x v="4"/>
  </r>
  <r>
    <n v="1496"/>
    <x v="495"/>
    <x v="495"/>
    <d v="2023-05-31T06:36:20"/>
    <s v="Customer_197"/>
    <x v="0"/>
    <s v="Asian"/>
    <x v="0"/>
    <n v="1"/>
    <n v="661"/>
    <x v="438"/>
    <n v="6"/>
    <x v="5"/>
  </r>
  <r>
    <n v="1497"/>
    <x v="496"/>
    <x v="496"/>
    <d v="2023-05-31T13:53:30"/>
    <s v="Customer_254"/>
    <x v="3"/>
    <s v="Main Course"/>
    <x v="0"/>
    <n v="3"/>
    <n v="298"/>
    <x v="439"/>
    <n v="13"/>
    <x v="6"/>
  </r>
  <r>
    <n v="1498"/>
    <x v="497"/>
    <x v="497"/>
    <d v="2023-05-31T21:10:40"/>
    <s v="Customer_205"/>
    <x v="3"/>
    <s v="Continental"/>
    <x v="9"/>
    <n v="1"/>
    <n v="486"/>
    <x v="416"/>
    <n v="21"/>
    <x v="0"/>
  </r>
  <r>
    <n v="1499"/>
    <x v="498"/>
    <x v="498"/>
    <d v="2023-06-01T04:27:49"/>
    <s v="Customer_125"/>
    <x v="2"/>
    <s v="Continental"/>
    <x v="8"/>
    <n v="1"/>
    <n v="448"/>
    <x v="147"/>
    <n v="4"/>
    <x v="1"/>
  </r>
  <r>
    <n v="1500"/>
    <x v="499"/>
    <x v="499"/>
    <d v="2023-06-01T11:44:59"/>
    <s v="Customer_76"/>
    <x v="1"/>
    <s v="Continental"/>
    <x v="0"/>
    <n v="1"/>
    <n v="792"/>
    <x v="391"/>
    <n v="11"/>
    <x v="2"/>
  </r>
  <r>
    <n v="1501"/>
    <x v="500"/>
    <x v="500"/>
    <d v="2023-06-01T19:02:09"/>
    <s v="Customer_3"/>
    <x v="3"/>
    <s v="Fast Food"/>
    <x v="4"/>
    <n v="4"/>
    <n v="635"/>
    <x v="440"/>
    <n v="19"/>
    <x v="3"/>
  </r>
  <r>
    <n v="1502"/>
    <x v="501"/>
    <x v="501"/>
    <d v="2023-06-02T02:19:19"/>
    <s v="Customer_55"/>
    <x v="2"/>
    <s v="Healthy"/>
    <x v="5"/>
    <n v="1"/>
    <n v="927"/>
    <x v="441"/>
    <n v="2"/>
    <x v="4"/>
  </r>
  <r>
    <n v="1503"/>
    <x v="502"/>
    <x v="502"/>
    <d v="2023-06-02T09:36:29"/>
    <s v="Customer_218"/>
    <x v="1"/>
    <s v="Main Course"/>
    <x v="8"/>
    <n v="5"/>
    <n v="477"/>
    <x v="442"/>
    <n v="9"/>
    <x v="5"/>
  </r>
  <r>
    <n v="1504"/>
    <x v="503"/>
    <x v="503"/>
    <d v="2023-06-02T16:53:39"/>
    <s v="Customer_113"/>
    <x v="0"/>
    <s v="Healthy"/>
    <x v="2"/>
    <n v="3"/>
    <n v="998"/>
    <x v="443"/>
    <n v="16"/>
    <x v="6"/>
  </r>
  <r>
    <n v="1505"/>
    <x v="504"/>
    <x v="504"/>
    <d v="2023-06-03T00:10:49"/>
    <s v="Customer_91"/>
    <x v="1"/>
    <s v="Main Course"/>
    <x v="3"/>
    <n v="3"/>
    <n v="657"/>
    <x v="444"/>
    <n v="0"/>
    <x v="0"/>
  </r>
  <r>
    <n v="1506"/>
    <x v="505"/>
    <x v="505"/>
    <d v="2023-06-03T07:27:58"/>
    <s v="Customer_266"/>
    <x v="0"/>
    <s v="Continental"/>
    <x v="7"/>
    <n v="1"/>
    <n v="626"/>
    <x v="445"/>
    <n v="7"/>
    <x v="1"/>
  </r>
  <r>
    <n v="1507"/>
    <x v="506"/>
    <x v="506"/>
    <d v="2023-06-03T14:45:08"/>
    <s v="Customer_238"/>
    <x v="2"/>
    <s v="Fast Food"/>
    <x v="6"/>
    <n v="4"/>
    <n v="252"/>
    <x v="446"/>
    <n v="14"/>
    <x v="2"/>
  </r>
  <r>
    <n v="1508"/>
    <x v="507"/>
    <x v="507"/>
    <d v="2023-06-03T22:02:18"/>
    <s v="Customer_26"/>
    <x v="1"/>
    <s v="Fast Food"/>
    <x v="5"/>
    <n v="4"/>
    <n v="833"/>
    <x v="447"/>
    <n v="22"/>
    <x v="3"/>
  </r>
  <r>
    <n v="1509"/>
    <x v="508"/>
    <x v="508"/>
    <d v="2023-06-04T05:19:28"/>
    <s v="Customer_286"/>
    <x v="2"/>
    <s v="Continental"/>
    <x v="4"/>
    <n v="5"/>
    <n v="305"/>
    <x v="448"/>
    <n v="5"/>
    <x v="4"/>
  </r>
  <r>
    <n v="1510"/>
    <x v="509"/>
    <x v="509"/>
    <d v="2023-06-04T12:36:38"/>
    <s v="Customer_128"/>
    <x v="0"/>
    <s v="Healthy"/>
    <x v="5"/>
    <n v="1"/>
    <n v="554"/>
    <x v="449"/>
    <n v="12"/>
    <x v="5"/>
  </r>
  <r>
    <n v="1511"/>
    <x v="510"/>
    <x v="510"/>
    <d v="2023-06-04T19:53:48"/>
    <s v="Customer_63"/>
    <x v="3"/>
    <s v="Asian"/>
    <x v="1"/>
    <n v="3"/>
    <n v="372"/>
    <x v="386"/>
    <n v="19"/>
    <x v="6"/>
  </r>
  <r>
    <n v="1512"/>
    <x v="511"/>
    <x v="511"/>
    <d v="2023-06-05T03:10:58"/>
    <s v="Customer_234"/>
    <x v="3"/>
    <s v="Continental"/>
    <x v="4"/>
    <n v="4"/>
    <n v="993"/>
    <x v="450"/>
    <n v="3"/>
    <x v="0"/>
  </r>
  <r>
    <n v="1513"/>
    <x v="512"/>
    <x v="512"/>
    <d v="2023-06-05T10:28:07"/>
    <s v="Customer_69"/>
    <x v="0"/>
    <s v="Main Course"/>
    <x v="5"/>
    <n v="1"/>
    <n v="335"/>
    <x v="451"/>
    <n v="10"/>
    <x v="1"/>
  </r>
  <r>
    <n v="1514"/>
    <x v="513"/>
    <x v="513"/>
    <d v="2023-06-05T17:45:17"/>
    <s v="Customer_238"/>
    <x v="3"/>
    <s v="Healthy"/>
    <x v="0"/>
    <n v="4"/>
    <n v="951"/>
    <x v="452"/>
    <n v="17"/>
    <x v="2"/>
  </r>
  <r>
    <n v="1515"/>
    <x v="514"/>
    <x v="514"/>
    <d v="2023-06-06T01:02:27"/>
    <s v="Customer_272"/>
    <x v="3"/>
    <s v="Asian"/>
    <x v="8"/>
    <n v="4"/>
    <n v="839"/>
    <x v="453"/>
    <n v="1"/>
    <x v="3"/>
  </r>
  <r>
    <n v="1516"/>
    <x v="515"/>
    <x v="515"/>
    <d v="2023-06-06T08:19:37"/>
    <s v="Customer_287"/>
    <x v="1"/>
    <s v="Fast Food"/>
    <x v="1"/>
    <n v="3"/>
    <n v="620"/>
    <x v="220"/>
    <n v="8"/>
    <x v="4"/>
  </r>
  <r>
    <n v="1517"/>
    <x v="516"/>
    <x v="516"/>
    <d v="2023-06-06T15:36:47"/>
    <s v="Customer_163"/>
    <x v="1"/>
    <s v="Main Course"/>
    <x v="1"/>
    <n v="2"/>
    <n v="777"/>
    <x v="454"/>
    <n v="15"/>
    <x v="5"/>
  </r>
  <r>
    <n v="1518"/>
    <x v="517"/>
    <x v="517"/>
    <d v="2023-06-06T22:53:57"/>
    <s v="Customer_227"/>
    <x v="3"/>
    <s v="Fast Food"/>
    <x v="1"/>
    <n v="5"/>
    <n v="930"/>
    <x v="455"/>
    <n v="22"/>
    <x v="6"/>
  </r>
  <r>
    <n v="1519"/>
    <x v="518"/>
    <x v="518"/>
    <d v="2023-06-07T06:11:07"/>
    <s v="Customer_259"/>
    <x v="1"/>
    <s v="Main Course"/>
    <x v="2"/>
    <n v="5"/>
    <n v="825"/>
    <x v="456"/>
    <n v="6"/>
    <x v="0"/>
  </r>
  <r>
    <n v="1520"/>
    <x v="519"/>
    <x v="519"/>
    <d v="2023-06-07T13:28:16"/>
    <s v="Customer_219"/>
    <x v="0"/>
    <s v="Asian"/>
    <x v="5"/>
    <n v="3"/>
    <n v="600"/>
    <x v="457"/>
    <n v="13"/>
    <x v="1"/>
  </r>
  <r>
    <n v="1521"/>
    <x v="520"/>
    <x v="520"/>
    <d v="2023-06-07T20:45:26"/>
    <s v="Customer_281"/>
    <x v="1"/>
    <s v="Main Course"/>
    <x v="8"/>
    <n v="4"/>
    <n v="216"/>
    <x v="458"/>
    <n v="20"/>
    <x v="2"/>
  </r>
  <r>
    <n v="1522"/>
    <x v="521"/>
    <x v="521"/>
    <d v="2023-06-08T04:02:36"/>
    <s v="Customer_229"/>
    <x v="1"/>
    <s v="Asian"/>
    <x v="8"/>
    <n v="1"/>
    <n v="485"/>
    <x v="459"/>
    <n v="4"/>
    <x v="3"/>
  </r>
  <r>
    <n v="1523"/>
    <x v="522"/>
    <x v="522"/>
    <d v="2023-06-08T11:19:46"/>
    <s v="Customer_82"/>
    <x v="1"/>
    <s v="Continental"/>
    <x v="0"/>
    <n v="4"/>
    <n v="443"/>
    <x v="194"/>
    <n v="11"/>
    <x v="4"/>
  </r>
  <r>
    <n v="1524"/>
    <x v="523"/>
    <x v="523"/>
    <d v="2023-06-08T18:36:56"/>
    <s v="Customer_244"/>
    <x v="2"/>
    <s v="Continental"/>
    <x v="4"/>
    <n v="3"/>
    <n v="683"/>
    <x v="428"/>
    <n v="18"/>
    <x v="5"/>
  </r>
  <r>
    <n v="1525"/>
    <x v="524"/>
    <x v="524"/>
    <d v="2023-06-09T01:54:06"/>
    <s v="Customer_231"/>
    <x v="0"/>
    <s v="Main Course"/>
    <x v="6"/>
    <n v="5"/>
    <n v="494"/>
    <x v="460"/>
    <n v="1"/>
    <x v="6"/>
  </r>
  <r>
    <n v="1526"/>
    <x v="525"/>
    <x v="525"/>
    <d v="2023-06-09T09:11:16"/>
    <s v="Customer_133"/>
    <x v="3"/>
    <s v="Healthy"/>
    <x v="3"/>
    <n v="4"/>
    <n v="163"/>
    <x v="461"/>
    <n v="9"/>
    <x v="0"/>
  </r>
  <r>
    <n v="1527"/>
    <x v="526"/>
    <x v="526"/>
    <d v="2023-06-09T16:28:25"/>
    <s v="Customer_127"/>
    <x v="3"/>
    <s v="Fast Food"/>
    <x v="4"/>
    <n v="5"/>
    <n v="816"/>
    <x v="462"/>
    <n v="16"/>
    <x v="1"/>
  </r>
  <r>
    <n v="1528"/>
    <x v="527"/>
    <x v="527"/>
    <d v="2023-06-09T23:45:35"/>
    <s v="Customer_142"/>
    <x v="2"/>
    <s v="Main Course"/>
    <x v="2"/>
    <n v="1"/>
    <n v="820"/>
    <x v="463"/>
    <n v="23"/>
    <x v="2"/>
  </r>
  <r>
    <n v="1529"/>
    <x v="528"/>
    <x v="528"/>
    <d v="2023-06-10T07:02:45"/>
    <s v="Customer_267"/>
    <x v="1"/>
    <s v="Main Course"/>
    <x v="6"/>
    <n v="5"/>
    <n v="171"/>
    <x v="464"/>
    <n v="7"/>
    <x v="3"/>
  </r>
  <r>
    <n v="1530"/>
    <x v="529"/>
    <x v="529"/>
    <d v="2023-06-10T14:19:55"/>
    <s v="Customer_249"/>
    <x v="0"/>
    <s v="Fast Food"/>
    <x v="5"/>
    <n v="5"/>
    <n v="888"/>
    <x v="465"/>
    <n v="14"/>
    <x v="4"/>
  </r>
  <r>
    <n v="1531"/>
    <x v="530"/>
    <x v="530"/>
    <d v="2023-06-10T21:37:05"/>
    <s v="Customer_123"/>
    <x v="0"/>
    <s v="Main Course"/>
    <x v="6"/>
    <n v="2"/>
    <n v="373"/>
    <x v="466"/>
    <n v="21"/>
    <x v="5"/>
  </r>
  <r>
    <n v="1532"/>
    <x v="531"/>
    <x v="531"/>
    <d v="2023-06-11T04:54:15"/>
    <s v="Customer_141"/>
    <x v="3"/>
    <s v="Fast Food"/>
    <x v="4"/>
    <n v="2"/>
    <n v="419"/>
    <x v="38"/>
    <n v="4"/>
    <x v="6"/>
  </r>
  <r>
    <n v="1533"/>
    <x v="532"/>
    <x v="532"/>
    <d v="2023-06-11T12:11:25"/>
    <s v="Customer_226"/>
    <x v="2"/>
    <s v="Asian"/>
    <x v="4"/>
    <n v="2"/>
    <n v="437"/>
    <x v="467"/>
    <n v="12"/>
    <x v="0"/>
  </r>
  <r>
    <n v="1534"/>
    <x v="533"/>
    <x v="533"/>
    <d v="2023-06-11T19:28:34"/>
    <s v="Customer_40"/>
    <x v="2"/>
    <s v="Healthy"/>
    <x v="0"/>
    <n v="5"/>
    <n v="465"/>
    <x v="468"/>
    <n v="19"/>
    <x v="1"/>
  </r>
  <r>
    <n v="1535"/>
    <x v="534"/>
    <x v="534"/>
    <d v="2023-06-12T02:45:44"/>
    <s v="Customer_147"/>
    <x v="2"/>
    <s v="Continental"/>
    <x v="3"/>
    <n v="3"/>
    <n v="594"/>
    <x v="469"/>
    <n v="2"/>
    <x v="2"/>
  </r>
  <r>
    <n v="1536"/>
    <x v="535"/>
    <x v="535"/>
    <d v="2023-06-12T10:02:54"/>
    <s v="Customer_121"/>
    <x v="2"/>
    <s v="Continental"/>
    <x v="9"/>
    <n v="5"/>
    <n v="706"/>
    <x v="470"/>
    <n v="10"/>
    <x v="3"/>
  </r>
  <r>
    <n v="1537"/>
    <x v="536"/>
    <x v="536"/>
    <d v="2023-06-12T17:20:04"/>
    <s v="Customer_140"/>
    <x v="0"/>
    <s v="Healthy"/>
    <x v="7"/>
    <n v="3"/>
    <n v="265"/>
    <x v="471"/>
    <n v="17"/>
    <x v="4"/>
  </r>
  <r>
    <n v="1538"/>
    <x v="537"/>
    <x v="537"/>
    <d v="2023-06-13T00:37:14"/>
    <s v="Customer_172"/>
    <x v="1"/>
    <s v="Fast Food"/>
    <x v="9"/>
    <n v="3"/>
    <n v="643"/>
    <x v="472"/>
    <n v="0"/>
    <x v="5"/>
  </r>
  <r>
    <n v="1539"/>
    <x v="538"/>
    <x v="538"/>
    <d v="2023-06-13T07:54:24"/>
    <s v="Customer_164"/>
    <x v="3"/>
    <s v="Healthy"/>
    <x v="9"/>
    <n v="2"/>
    <n v="110"/>
    <x v="15"/>
    <n v="7"/>
    <x v="6"/>
  </r>
  <r>
    <n v="1540"/>
    <x v="539"/>
    <x v="539"/>
    <d v="2023-06-13T15:11:34"/>
    <s v="Customer_277"/>
    <x v="0"/>
    <s v="Fast Food"/>
    <x v="5"/>
    <n v="4"/>
    <n v="400"/>
    <x v="473"/>
    <n v="15"/>
    <x v="0"/>
  </r>
  <r>
    <n v="1541"/>
    <x v="540"/>
    <x v="540"/>
    <d v="2023-06-13T22:28:43"/>
    <s v="Customer_42"/>
    <x v="2"/>
    <s v="Healthy"/>
    <x v="7"/>
    <n v="1"/>
    <n v="828"/>
    <x v="474"/>
    <n v="22"/>
    <x v="1"/>
  </r>
  <r>
    <n v="1542"/>
    <x v="541"/>
    <x v="541"/>
    <d v="2023-06-14T05:45:53"/>
    <s v="Customer_71"/>
    <x v="2"/>
    <s v="Main Course"/>
    <x v="1"/>
    <n v="2"/>
    <n v="900"/>
    <x v="457"/>
    <n v="5"/>
    <x v="2"/>
  </r>
  <r>
    <n v="1543"/>
    <x v="542"/>
    <x v="542"/>
    <d v="2023-06-14T13:03:03"/>
    <s v="Customer_78"/>
    <x v="3"/>
    <s v="Main Course"/>
    <x v="8"/>
    <n v="2"/>
    <n v="201"/>
    <x v="475"/>
    <n v="13"/>
    <x v="3"/>
  </r>
  <r>
    <n v="1544"/>
    <x v="543"/>
    <x v="543"/>
    <d v="2023-06-14T20:20:13"/>
    <s v="Customer_119"/>
    <x v="1"/>
    <s v="Healthy"/>
    <x v="1"/>
    <n v="4"/>
    <n v="524"/>
    <x v="476"/>
    <n v="20"/>
    <x v="4"/>
  </r>
  <r>
    <n v="1545"/>
    <x v="544"/>
    <x v="544"/>
    <d v="2023-06-15T03:37:23"/>
    <s v="Customer_197"/>
    <x v="1"/>
    <s v="Asian"/>
    <x v="0"/>
    <n v="1"/>
    <n v="491"/>
    <x v="477"/>
    <n v="3"/>
    <x v="5"/>
  </r>
  <r>
    <n v="1546"/>
    <x v="545"/>
    <x v="545"/>
    <d v="2023-06-15T10:54:33"/>
    <s v="Customer_79"/>
    <x v="1"/>
    <s v="Healthy"/>
    <x v="5"/>
    <n v="5"/>
    <n v="878"/>
    <x v="478"/>
    <n v="10"/>
    <x v="6"/>
  </r>
  <r>
    <n v="1547"/>
    <x v="546"/>
    <x v="546"/>
    <d v="2023-06-15T18:11:43"/>
    <s v="Customer_110"/>
    <x v="2"/>
    <s v="Continental"/>
    <x v="0"/>
    <n v="5"/>
    <n v="313"/>
    <x v="479"/>
    <n v="18"/>
    <x v="0"/>
  </r>
  <r>
    <n v="1548"/>
    <x v="547"/>
    <x v="547"/>
    <d v="2023-06-16T01:28:52"/>
    <s v="Customer_33"/>
    <x v="0"/>
    <s v="Main Course"/>
    <x v="9"/>
    <n v="2"/>
    <n v="790"/>
    <x v="14"/>
    <n v="1"/>
    <x v="1"/>
  </r>
  <r>
    <n v="1549"/>
    <x v="548"/>
    <x v="548"/>
    <d v="2023-06-16T08:46:02"/>
    <s v="Customer_213"/>
    <x v="0"/>
    <s v="Healthy"/>
    <x v="9"/>
    <n v="1"/>
    <n v="187"/>
    <x v="480"/>
    <n v="8"/>
    <x v="2"/>
  </r>
  <r>
    <n v="1550"/>
    <x v="549"/>
    <x v="549"/>
    <d v="2023-06-16T16:03:12"/>
    <s v="Customer_209"/>
    <x v="1"/>
    <s v="Continental"/>
    <x v="6"/>
    <n v="2"/>
    <n v="652"/>
    <x v="22"/>
    <n v="16"/>
    <x v="3"/>
  </r>
  <r>
    <n v="1551"/>
    <x v="550"/>
    <x v="550"/>
    <d v="2023-06-16T23:20:22"/>
    <s v="Customer_170"/>
    <x v="3"/>
    <s v="Main Course"/>
    <x v="0"/>
    <n v="3"/>
    <n v="500"/>
    <x v="106"/>
    <n v="23"/>
    <x v="4"/>
  </r>
  <r>
    <n v="1552"/>
    <x v="551"/>
    <x v="551"/>
    <d v="2023-06-17T06:37:32"/>
    <s v="Customer_278"/>
    <x v="1"/>
    <s v="Asian"/>
    <x v="8"/>
    <n v="2"/>
    <n v="687"/>
    <x v="481"/>
    <n v="6"/>
    <x v="5"/>
  </r>
  <r>
    <n v="1553"/>
    <x v="552"/>
    <x v="552"/>
    <d v="2023-06-17T13:54:42"/>
    <s v="Customer_239"/>
    <x v="1"/>
    <s v="Asian"/>
    <x v="2"/>
    <n v="2"/>
    <n v="988"/>
    <x v="271"/>
    <n v="13"/>
    <x v="6"/>
  </r>
  <r>
    <n v="1554"/>
    <x v="553"/>
    <x v="553"/>
    <d v="2023-06-17T21:11:52"/>
    <s v="Customer_213"/>
    <x v="3"/>
    <s v="Continental"/>
    <x v="3"/>
    <n v="5"/>
    <n v="145"/>
    <x v="482"/>
    <n v="21"/>
    <x v="0"/>
  </r>
  <r>
    <n v="1555"/>
    <x v="554"/>
    <x v="554"/>
    <d v="2023-06-18T04:29:01"/>
    <s v="Customer_32"/>
    <x v="1"/>
    <s v="Healthy"/>
    <x v="9"/>
    <n v="5"/>
    <n v="771"/>
    <x v="483"/>
    <n v="4"/>
    <x v="1"/>
  </r>
  <r>
    <n v="1556"/>
    <x v="555"/>
    <x v="555"/>
    <d v="2023-06-18T11:46:11"/>
    <s v="Customer_106"/>
    <x v="3"/>
    <s v="Main Course"/>
    <x v="8"/>
    <n v="5"/>
    <n v="562"/>
    <x v="484"/>
    <n v="11"/>
    <x v="2"/>
  </r>
  <r>
    <n v="1557"/>
    <x v="556"/>
    <x v="556"/>
    <d v="2023-06-18T19:03:21"/>
    <s v="Customer_216"/>
    <x v="3"/>
    <s v="Asian"/>
    <x v="9"/>
    <n v="3"/>
    <n v="691"/>
    <x v="485"/>
    <n v="19"/>
    <x v="3"/>
  </r>
  <r>
    <n v="1558"/>
    <x v="557"/>
    <x v="557"/>
    <d v="2023-06-19T02:20:31"/>
    <s v="Customer_200"/>
    <x v="0"/>
    <s v="Continental"/>
    <x v="2"/>
    <n v="5"/>
    <n v="409"/>
    <x v="486"/>
    <n v="2"/>
    <x v="4"/>
  </r>
  <r>
    <n v="1559"/>
    <x v="558"/>
    <x v="558"/>
    <d v="2023-06-19T09:37:41"/>
    <s v="Customer_300"/>
    <x v="3"/>
    <s v="Fast Food"/>
    <x v="6"/>
    <n v="1"/>
    <n v="185"/>
    <x v="108"/>
    <n v="9"/>
    <x v="5"/>
  </r>
  <r>
    <n v="1560"/>
    <x v="559"/>
    <x v="559"/>
    <d v="2023-06-19T16:54:51"/>
    <s v="Customer_11"/>
    <x v="1"/>
    <s v="Healthy"/>
    <x v="8"/>
    <n v="4"/>
    <n v="191"/>
    <x v="487"/>
    <n v="16"/>
    <x v="6"/>
  </r>
  <r>
    <n v="1561"/>
    <x v="560"/>
    <x v="560"/>
    <d v="2023-06-20T00:12:01"/>
    <s v="Customer_295"/>
    <x v="3"/>
    <s v="Fast Food"/>
    <x v="6"/>
    <n v="1"/>
    <n v="759"/>
    <x v="488"/>
    <n v="0"/>
    <x v="0"/>
  </r>
  <r>
    <n v="1562"/>
    <x v="561"/>
    <x v="561"/>
    <d v="2023-06-20T07:29:10"/>
    <s v="Customer_195"/>
    <x v="1"/>
    <s v="Healthy"/>
    <x v="0"/>
    <n v="1"/>
    <n v="772"/>
    <x v="489"/>
    <n v="7"/>
    <x v="1"/>
  </r>
  <r>
    <n v="1563"/>
    <x v="562"/>
    <x v="562"/>
    <d v="2023-06-20T14:46:20"/>
    <s v="Customer_245"/>
    <x v="3"/>
    <s v="Main Course"/>
    <x v="3"/>
    <n v="5"/>
    <n v="813"/>
    <x v="490"/>
    <n v="14"/>
    <x v="2"/>
  </r>
  <r>
    <n v="1564"/>
    <x v="563"/>
    <x v="563"/>
    <d v="2023-06-20T22:03:30"/>
    <s v="Customer_4"/>
    <x v="0"/>
    <s v="Continental"/>
    <x v="6"/>
    <n v="4"/>
    <n v="341"/>
    <x v="491"/>
    <n v="22"/>
    <x v="3"/>
  </r>
  <r>
    <n v="1565"/>
    <x v="564"/>
    <x v="564"/>
    <d v="2023-06-21T05:20:40"/>
    <s v="Customer_181"/>
    <x v="1"/>
    <s v="Main Course"/>
    <x v="5"/>
    <n v="4"/>
    <n v="964"/>
    <x v="492"/>
    <n v="5"/>
    <x v="4"/>
  </r>
  <r>
    <n v="1566"/>
    <x v="565"/>
    <x v="565"/>
    <d v="2023-06-21T12:37:50"/>
    <s v="Customer_153"/>
    <x v="1"/>
    <s v="Fast Food"/>
    <x v="2"/>
    <n v="4"/>
    <n v="101"/>
    <x v="493"/>
    <n v="12"/>
    <x v="5"/>
  </r>
  <r>
    <n v="1567"/>
    <x v="566"/>
    <x v="566"/>
    <d v="2023-06-21T19:55:00"/>
    <s v="Customer_200"/>
    <x v="1"/>
    <s v="Continental"/>
    <x v="7"/>
    <n v="3"/>
    <n v="324"/>
    <x v="494"/>
    <n v="19"/>
    <x v="6"/>
  </r>
  <r>
    <n v="1568"/>
    <x v="567"/>
    <x v="567"/>
    <d v="2023-06-22T03:12:10"/>
    <s v="Customer_215"/>
    <x v="3"/>
    <s v="Main Course"/>
    <x v="2"/>
    <n v="5"/>
    <n v="900"/>
    <x v="495"/>
    <n v="3"/>
    <x v="0"/>
  </r>
  <r>
    <n v="1569"/>
    <x v="568"/>
    <x v="568"/>
    <d v="2023-06-22T10:29:19"/>
    <s v="Customer_276"/>
    <x v="0"/>
    <s v="Main Course"/>
    <x v="5"/>
    <n v="4"/>
    <n v="844"/>
    <x v="496"/>
    <n v="10"/>
    <x v="1"/>
  </r>
  <r>
    <n v="1570"/>
    <x v="569"/>
    <x v="569"/>
    <d v="2023-06-22T17:46:29"/>
    <s v="Customer_280"/>
    <x v="0"/>
    <s v="Main Course"/>
    <x v="4"/>
    <n v="3"/>
    <n v="688"/>
    <x v="497"/>
    <n v="17"/>
    <x v="2"/>
  </r>
  <r>
    <n v="1571"/>
    <x v="570"/>
    <x v="570"/>
    <d v="2023-06-23T01:03:39"/>
    <s v="Customer_113"/>
    <x v="0"/>
    <s v="Fast Food"/>
    <x v="9"/>
    <n v="2"/>
    <n v="215"/>
    <x v="498"/>
    <n v="1"/>
    <x v="3"/>
  </r>
  <r>
    <n v="1572"/>
    <x v="571"/>
    <x v="571"/>
    <d v="2023-06-23T08:20:49"/>
    <s v="Customer_250"/>
    <x v="0"/>
    <s v="Main Course"/>
    <x v="5"/>
    <n v="2"/>
    <n v="765"/>
    <x v="499"/>
    <n v="8"/>
    <x v="4"/>
  </r>
  <r>
    <n v="1573"/>
    <x v="572"/>
    <x v="572"/>
    <d v="2023-06-23T15:37:59"/>
    <s v="Customer_113"/>
    <x v="3"/>
    <s v="Asian"/>
    <x v="7"/>
    <n v="3"/>
    <n v="202"/>
    <x v="500"/>
    <n v="15"/>
    <x v="5"/>
  </r>
  <r>
    <n v="1574"/>
    <x v="573"/>
    <x v="573"/>
    <d v="2023-06-23T22:55:09"/>
    <s v="Customer_140"/>
    <x v="1"/>
    <s v="Healthy"/>
    <x v="5"/>
    <n v="3"/>
    <n v="293"/>
    <x v="501"/>
    <n v="22"/>
    <x v="6"/>
  </r>
  <r>
    <n v="1575"/>
    <x v="574"/>
    <x v="574"/>
    <d v="2023-06-24T06:12:19"/>
    <s v="Customer_224"/>
    <x v="2"/>
    <s v="Asian"/>
    <x v="9"/>
    <n v="5"/>
    <n v="265"/>
    <x v="502"/>
    <n v="6"/>
    <x v="0"/>
  </r>
  <r>
    <n v="1576"/>
    <x v="575"/>
    <x v="575"/>
    <d v="2023-06-24T13:29:28"/>
    <s v="Customer_249"/>
    <x v="0"/>
    <s v="Fast Food"/>
    <x v="1"/>
    <n v="5"/>
    <n v="970"/>
    <x v="503"/>
    <n v="13"/>
    <x v="1"/>
  </r>
  <r>
    <n v="1577"/>
    <x v="576"/>
    <x v="576"/>
    <d v="2023-06-24T20:46:38"/>
    <s v="Customer_15"/>
    <x v="2"/>
    <s v="Fast Food"/>
    <x v="5"/>
    <n v="2"/>
    <n v="189"/>
    <x v="504"/>
    <n v="20"/>
    <x v="2"/>
  </r>
  <r>
    <n v="1578"/>
    <x v="577"/>
    <x v="577"/>
    <d v="2023-06-25T04:03:48"/>
    <s v="Customer_200"/>
    <x v="3"/>
    <s v="Main Course"/>
    <x v="5"/>
    <n v="4"/>
    <n v="785"/>
    <x v="505"/>
    <n v="4"/>
    <x v="3"/>
  </r>
  <r>
    <n v="1579"/>
    <x v="578"/>
    <x v="578"/>
    <d v="2023-06-25T11:20:58"/>
    <s v="Customer_173"/>
    <x v="3"/>
    <s v="Continental"/>
    <x v="1"/>
    <n v="2"/>
    <n v="221"/>
    <x v="506"/>
    <n v="11"/>
    <x v="4"/>
  </r>
  <r>
    <n v="1580"/>
    <x v="579"/>
    <x v="579"/>
    <d v="2023-06-25T18:38:08"/>
    <s v="Customer_208"/>
    <x v="2"/>
    <s v="Asian"/>
    <x v="7"/>
    <n v="4"/>
    <n v="242"/>
    <x v="507"/>
    <n v="18"/>
    <x v="5"/>
  </r>
  <r>
    <n v="1581"/>
    <x v="580"/>
    <x v="580"/>
    <d v="2023-06-26T01:55:18"/>
    <s v="Customer_85"/>
    <x v="1"/>
    <s v="Fast Food"/>
    <x v="2"/>
    <n v="4"/>
    <n v="205"/>
    <x v="463"/>
    <n v="1"/>
    <x v="6"/>
  </r>
  <r>
    <n v="1582"/>
    <x v="581"/>
    <x v="581"/>
    <d v="2023-06-26T09:12:28"/>
    <s v="Customer_240"/>
    <x v="2"/>
    <s v="Healthy"/>
    <x v="4"/>
    <n v="5"/>
    <n v="986"/>
    <x v="508"/>
    <n v="9"/>
    <x v="0"/>
  </r>
  <r>
    <n v="1583"/>
    <x v="582"/>
    <x v="582"/>
    <d v="2023-06-26T16:29:37"/>
    <s v="Customer_66"/>
    <x v="3"/>
    <s v="Fast Food"/>
    <x v="4"/>
    <n v="1"/>
    <n v="527"/>
    <x v="509"/>
    <n v="16"/>
    <x v="1"/>
  </r>
  <r>
    <n v="1584"/>
    <x v="583"/>
    <x v="583"/>
    <d v="2023-06-26T23:46:47"/>
    <s v="Customer_274"/>
    <x v="2"/>
    <s v="Asian"/>
    <x v="2"/>
    <n v="1"/>
    <n v="404"/>
    <x v="493"/>
    <n v="23"/>
    <x v="2"/>
  </r>
  <r>
    <n v="1585"/>
    <x v="584"/>
    <x v="584"/>
    <d v="2023-06-27T07:03:57"/>
    <s v="Customer_14"/>
    <x v="0"/>
    <s v="Healthy"/>
    <x v="2"/>
    <n v="3"/>
    <n v="971"/>
    <x v="510"/>
    <n v="7"/>
    <x v="3"/>
  </r>
  <r>
    <n v="1586"/>
    <x v="585"/>
    <x v="585"/>
    <d v="2023-06-27T14:21:07"/>
    <s v="Customer_202"/>
    <x v="0"/>
    <s v="Healthy"/>
    <x v="2"/>
    <n v="5"/>
    <n v="416"/>
    <x v="511"/>
    <n v="14"/>
    <x v="4"/>
  </r>
  <r>
    <n v="1587"/>
    <x v="586"/>
    <x v="586"/>
    <d v="2023-06-27T21:38:17"/>
    <s v="Customer_289"/>
    <x v="1"/>
    <s v="Main Course"/>
    <x v="0"/>
    <n v="4"/>
    <n v="734"/>
    <x v="512"/>
    <n v="21"/>
    <x v="5"/>
  </r>
  <r>
    <n v="1588"/>
    <x v="587"/>
    <x v="587"/>
    <d v="2023-06-28T04:55:27"/>
    <s v="Customer_14"/>
    <x v="2"/>
    <s v="Continental"/>
    <x v="4"/>
    <n v="1"/>
    <n v="108"/>
    <x v="513"/>
    <n v="4"/>
    <x v="6"/>
  </r>
  <r>
    <n v="1589"/>
    <x v="588"/>
    <x v="588"/>
    <d v="2023-06-28T12:12:37"/>
    <s v="Customer_43"/>
    <x v="2"/>
    <s v="Healthy"/>
    <x v="6"/>
    <n v="4"/>
    <n v="873"/>
    <x v="514"/>
    <n v="12"/>
    <x v="0"/>
  </r>
  <r>
    <n v="1590"/>
    <x v="589"/>
    <x v="589"/>
    <d v="2023-06-28T19:29:46"/>
    <s v="Customer_220"/>
    <x v="2"/>
    <s v="Main Course"/>
    <x v="5"/>
    <n v="1"/>
    <n v="172"/>
    <x v="515"/>
    <n v="19"/>
    <x v="1"/>
  </r>
  <r>
    <n v="1591"/>
    <x v="590"/>
    <x v="590"/>
    <d v="2023-06-29T02:46:56"/>
    <s v="Customer_70"/>
    <x v="2"/>
    <s v="Continental"/>
    <x v="3"/>
    <n v="1"/>
    <n v="458"/>
    <x v="177"/>
    <n v="2"/>
    <x v="2"/>
  </r>
  <r>
    <n v="1592"/>
    <x v="591"/>
    <x v="591"/>
    <d v="2023-06-29T10:04:06"/>
    <s v="Customer_237"/>
    <x v="1"/>
    <s v="Main Course"/>
    <x v="5"/>
    <n v="1"/>
    <n v="322"/>
    <x v="516"/>
    <n v="10"/>
    <x v="3"/>
  </r>
  <r>
    <n v="1593"/>
    <x v="592"/>
    <x v="592"/>
    <d v="2023-06-29T17:21:16"/>
    <s v="Customer_94"/>
    <x v="3"/>
    <s v="Fast Food"/>
    <x v="8"/>
    <n v="5"/>
    <n v="515"/>
    <x v="517"/>
    <n v="17"/>
    <x v="4"/>
  </r>
  <r>
    <n v="1594"/>
    <x v="593"/>
    <x v="593"/>
    <d v="2023-06-30T00:38:26"/>
    <s v="Customer_26"/>
    <x v="1"/>
    <s v="Fast Food"/>
    <x v="7"/>
    <n v="2"/>
    <n v="652"/>
    <x v="22"/>
    <n v="0"/>
    <x v="5"/>
  </r>
  <r>
    <n v="1595"/>
    <x v="594"/>
    <x v="594"/>
    <d v="2023-06-30T07:55:36"/>
    <s v="Customer_134"/>
    <x v="3"/>
    <s v="Continental"/>
    <x v="2"/>
    <n v="4"/>
    <n v="469"/>
    <x v="518"/>
    <n v="7"/>
    <x v="6"/>
  </r>
  <r>
    <n v="1596"/>
    <x v="595"/>
    <x v="595"/>
    <d v="2023-06-30T15:12:46"/>
    <s v="Customer_195"/>
    <x v="3"/>
    <s v="Main Course"/>
    <x v="3"/>
    <n v="5"/>
    <n v="815"/>
    <x v="377"/>
    <n v="15"/>
    <x v="0"/>
  </r>
  <r>
    <n v="1597"/>
    <x v="596"/>
    <x v="596"/>
    <d v="2023-06-30T22:29:55"/>
    <s v="Customer_168"/>
    <x v="3"/>
    <s v="Asian"/>
    <x v="4"/>
    <n v="5"/>
    <n v="363"/>
    <x v="227"/>
    <n v="22"/>
    <x v="1"/>
  </r>
  <r>
    <n v="1598"/>
    <x v="597"/>
    <x v="597"/>
    <d v="2023-07-01T05:47:05"/>
    <s v="Customer_109"/>
    <x v="2"/>
    <s v="Main Course"/>
    <x v="6"/>
    <n v="5"/>
    <n v="939"/>
    <x v="519"/>
    <n v="5"/>
    <x v="2"/>
  </r>
  <r>
    <n v="1599"/>
    <x v="598"/>
    <x v="598"/>
    <d v="2023-07-01T13:04:15"/>
    <s v="Customer_233"/>
    <x v="1"/>
    <s v="Asian"/>
    <x v="6"/>
    <n v="5"/>
    <n v="789"/>
    <x v="520"/>
    <n v="13"/>
    <x v="3"/>
  </r>
  <r>
    <n v="1600"/>
    <x v="599"/>
    <x v="599"/>
    <d v="2023-07-01T20:21:25"/>
    <s v="Customer_168"/>
    <x v="3"/>
    <s v="Healthy"/>
    <x v="4"/>
    <n v="5"/>
    <n v="959"/>
    <x v="521"/>
    <n v="20"/>
    <x v="4"/>
  </r>
  <r>
    <n v="1601"/>
    <x v="600"/>
    <x v="600"/>
    <d v="2023-07-02T03:38:35"/>
    <s v="Customer_173"/>
    <x v="0"/>
    <s v="Healthy"/>
    <x v="8"/>
    <n v="3"/>
    <n v="417"/>
    <x v="522"/>
    <n v="3"/>
    <x v="5"/>
  </r>
  <r>
    <n v="1602"/>
    <x v="601"/>
    <x v="601"/>
    <d v="2023-07-02T10:55:45"/>
    <s v="Customer_195"/>
    <x v="3"/>
    <s v="Healthy"/>
    <x v="2"/>
    <n v="4"/>
    <n v="183"/>
    <x v="402"/>
    <n v="10"/>
    <x v="6"/>
  </r>
  <r>
    <n v="1603"/>
    <x v="602"/>
    <x v="602"/>
    <d v="2023-07-02T18:12:55"/>
    <s v="Customer_143"/>
    <x v="1"/>
    <s v="Main Course"/>
    <x v="1"/>
    <n v="5"/>
    <n v="417"/>
    <x v="80"/>
    <n v="18"/>
    <x v="0"/>
  </r>
  <r>
    <n v="1604"/>
    <x v="603"/>
    <x v="603"/>
    <d v="2023-07-03T01:30:05"/>
    <s v="Customer_216"/>
    <x v="2"/>
    <s v="Continental"/>
    <x v="7"/>
    <n v="4"/>
    <n v="210"/>
    <x v="523"/>
    <n v="1"/>
    <x v="1"/>
  </r>
  <r>
    <n v="1605"/>
    <x v="604"/>
    <x v="604"/>
    <d v="2023-07-03T08:47:14"/>
    <s v="Customer_130"/>
    <x v="0"/>
    <s v="Asian"/>
    <x v="1"/>
    <n v="3"/>
    <n v="350"/>
    <x v="325"/>
    <n v="8"/>
    <x v="2"/>
  </r>
  <r>
    <n v="1606"/>
    <x v="605"/>
    <x v="605"/>
    <d v="2023-07-03T16:04:24"/>
    <s v="Customer_42"/>
    <x v="3"/>
    <s v="Main Course"/>
    <x v="0"/>
    <n v="3"/>
    <n v="482"/>
    <x v="524"/>
    <n v="16"/>
    <x v="3"/>
  </r>
  <r>
    <n v="1607"/>
    <x v="606"/>
    <x v="606"/>
    <d v="2023-07-03T23:21:34"/>
    <s v="Customer_241"/>
    <x v="2"/>
    <s v="Healthy"/>
    <x v="5"/>
    <n v="4"/>
    <n v="106"/>
    <x v="339"/>
    <n v="23"/>
    <x v="4"/>
  </r>
  <r>
    <n v="1608"/>
    <x v="607"/>
    <x v="607"/>
    <d v="2023-07-04T06:38:44"/>
    <s v="Customer_10"/>
    <x v="1"/>
    <s v="Fast Food"/>
    <x v="0"/>
    <n v="1"/>
    <n v="558"/>
    <x v="525"/>
    <n v="6"/>
    <x v="5"/>
  </r>
  <r>
    <n v="1609"/>
    <x v="608"/>
    <x v="608"/>
    <d v="2023-07-04T13:55:54"/>
    <s v="Customer_277"/>
    <x v="1"/>
    <s v="Healthy"/>
    <x v="8"/>
    <n v="2"/>
    <n v="183"/>
    <x v="412"/>
    <n v="13"/>
    <x v="6"/>
  </r>
  <r>
    <n v="1610"/>
    <x v="609"/>
    <x v="609"/>
    <d v="2023-07-04T21:13:04"/>
    <s v="Customer_27"/>
    <x v="0"/>
    <s v="Continental"/>
    <x v="5"/>
    <n v="1"/>
    <n v="307"/>
    <x v="526"/>
    <n v="21"/>
    <x v="0"/>
  </r>
  <r>
    <n v="1611"/>
    <x v="610"/>
    <x v="610"/>
    <d v="2023-07-05T04:30:14"/>
    <s v="Customer_180"/>
    <x v="0"/>
    <s v="Healthy"/>
    <x v="2"/>
    <n v="1"/>
    <n v="999"/>
    <x v="527"/>
    <n v="4"/>
    <x v="1"/>
  </r>
  <r>
    <n v="1612"/>
    <x v="611"/>
    <x v="611"/>
    <d v="2023-07-05T11:47:23"/>
    <s v="Customer_115"/>
    <x v="3"/>
    <s v="Continental"/>
    <x v="5"/>
    <n v="1"/>
    <n v="489"/>
    <x v="528"/>
    <n v="11"/>
    <x v="2"/>
  </r>
  <r>
    <n v="1613"/>
    <x v="612"/>
    <x v="612"/>
    <d v="2023-07-05T19:04:33"/>
    <s v="Customer_36"/>
    <x v="2"/>
    <s v="Fast Food"/>
    <x v="5"/>
    <n v="5"/>
    <n v="413"/>
    <x v="529"/>
    <n v="19"/>
    <x v="3"/>
  </r>
  <r>
    <n v="1614"/>
    <x v="613"/>
    <x v="613"/>
    <d v="2023-07-06T02:21:43"/>
    <s v="Customer_21"/>
    <x v="2"/>
    <s v="Asian"/>
    <x v="3"/>
    <n v="3"/>
    <n v="121"/>
    <x v="530"/>
    <n v="2"/>
    <x v="4"/>
  </r>
  <r>
    <n v="1615"/>
    <x v="614"/>
    <x v="614"/>
    <d v="2023-07-06T09:38:53"/>
    <s v="Customer_16"/>
    <x v="1"/>
    <s v="Healthy"/>
    <x v="3"/>
    <n v="1"/>
    <n v="509"/>
    <x v="531"/>
    <n v="9"/>
    <x v="5"/>
  </r>
  <r>
    <n v="1616"/>
    <x v="615"/>
    <x v="615"/>
    <d v="2023-07-06T16:56:03"/>
    <s v="Customer_127"/>
    <x v="1"/>
    <s v="Continental"/>
    <x v="8"/>
    <n v="3"/>
    <n v="994"/>
    <x v="532"/>
    <n v="16"/>
    <x v="6"/>
  </r>
  <r>
    <n v="1617"/>
    <x v="616"/>
    <x v="616"/>
    <d v="2023-07-07T00:13:13"/>
    <s v="Customer_103"/>
    <x v="3"/>
    <s v="Asian"/>
    <x v="0"/>
    <n v="4"/>
    <n v="614"/>
    <x v="533"/>
    <n v="0"/>
    <x v="0"/>
  </r>
  <r>
    <n v="1618"/>
    <x v="617"/>
    <x v="617"/>
    <d v="2023-07-07T07:30:23"/>
    <s v="Customer_11"/>
    <x v="3"/>
    <s v="Fast Food"/>
    <x v="4"/>
    <n v="2"/>
    <n v="226"/>
    <x v="534"/>
    <n v="7"/>
    <x v="1"/>
  </r>
  <r>
    <n v="1619"/>
    <x v="618"/>
    <x v="618"/>
    <d v="2023-07-07T14:47:32"/>
    <s v="Customer_79"/>
    <x v="1"/>
    <s v="Continental"/>
    <x v="2"/>
    <n v="4"/>
    <n v="908"/>
    <x v="535"/>
    <n v="14"/>
    <x v="2"/>
  </r>
  <r>
    <n v="1620"/>
    <x v="619"/>
    <x v="619"/>
    <d v="2023-07-07T22:04:42"/>
    <s v="Customer_123"/>
    <x v="1"/>
    <s v="Fast Food"/>
    <x v="5"/>
    <n v="4"/>
    <n v="799"/>
    <x v="536"/>
    <n v="22"/>
    <x v="3"/>
  </r>
  <r>
    <n v="1621"/>
    <x v="620"/>
    <x v="620"/>
    <d v="2023-07-08T05:21:52"/>
    <s v="Customer_65"/>
    <x v="2"/>
    <s v="Fast Food"/>
    <x v="7"/>
    <n v="5"/>
    <n v="973"/>
    <x v="537"/>
    <n v="5"/>
    <x v="4"/>
  </r>
  <r>
    <n v="1622"/>
    <x v="621"/>
    <x v="621"/>
    <d v="2023-07-08T12:39:02"/>
    <s v="Customer_243"/>
    <x v="2"/>
    <s v="Main Course"/>
    <x v="7"/>
    <n v="2"/>
    <n v="113"/>
    <x v="538"/>
    <n v="12"/>
    <x v="5"/>
  </r>
  <r>
    <n v="1623"/>
    <x v="622"/>
    <x v="622"/>
    <d v="2023-07-08T19:56:12"/>
    <s v="Customer_59"/>
    <x v="2"/>
    <s v="Asian"/>
    <x v="9"/>
    <n v="4"/>
    <n v="111"/>
    <x v="539"/>
    <n v="19"/>
    <x v="6"/>
  </r>
  <r>
    <n v="1624"/>
    <x v="623"/>
    <x v="623"/>
    <d v="2023-07-09T03:13:22"/>
    <s v="Customer_289"/>
    <x v="3"/>
    <s v="Main Course"/>
    <x v="5"/>
    <n v="4"/>
    <n v="186"/>
    <x v="540"/>
    <n v="3"/>
    <x v="0"/>
  </r>
  <r>
    <n v="1625"/>
    <x v="624"/>
    <x v="624"/>
    <d v="2023-07-09T10:30:32"/>
    <s v="Customer_112"/>
    <x v="2"/>
    <s v="Fast Food"/>
    <x v="5"/>
    <n v="2"/>
    <n v="623"/>
    <x v="541"/>
    <n v="10"/>
    <x v="1"/>
  </r>
  <r>
    <n v="1626"/>
    <x v="625"/>
    <x v="625"/>
    <d v="2023-07-09T17:47:41"/>
    <s v="Customer_239"/>
    <x v="0"/>
    <s v="Continental"/>
    <x v="8"/>
    <n v="2"/>
    <n v="636"/>
    <x v="542"/>
    <n v="17"/>
    <x v="2"/>
  </r>
  <r>
    <n v="1627"/>
    <x v="626"/>
    <x v="626"/>
    <d v="2023-07-10T01:04:51"/>
    <s v="Customer_132"/>
    <x v="0"/>
    <s v="Healthy"/>
    <x v="7"/>
    <n v="4"/>
    <n v="400"/>
    <x v="473"/>
    <n v="1"/>
    <x v="3"/>
  </r>
  <r>
    <n v="1628"/>
    <x v="627"/>
    <x v="627"/>
    <d v="2023-07-10T08:22:01"/>
    <s v="Customer_189"/>
    <x v="2"/>
    <s v="Main Course"/>
    <x v="4"/>
    <n v="2"/>
    <n v="342"/>
    <x v="219"/>
    <n v="8"/>
    <x v="4"/>
  </r>
  <r>
    <n v="1629"/>
    <x v="628"/>
    <x v="628"/>
    <d v="2023-07-10T15:39:11"/>
    <s v="Customer_86"/>
    <x v="2"/>
    <s v="Healthy"/>
    <x v="4"/>
    <n v="4"/>
    <n v="221"/>
    <x v="543"/>
    <n v="15"/>
    <x v="5"/>
  </r>
  <r>
    <n v="1630"/>
    <x v="629"/>
    <x v="629"/>
    <d v="2023-07-10T22:56:21"/>
    <s v="Customer_59"/>
    <x v="1"/>
    <s v="Main Course"/>
    <x v="1"/>
    <n v="4"/>
    <n v="246"/>
    <x v="218"/>
    <n v="22"/>
    <x v="6"/>
  </r>
  <r>
    <n v="1631"/>
    <x v="630"/>
    <x v="630"/>
    <d v="2023-07-11T06:13:31"/>
    <s v="Customer_84"/>
    <x v="1"/>
    <s v="Asian"/>
    <x v="7"/>
    <n v="5"/>
    <n v="666"/>
    <x v="544"/>
    <n v="6"/>
    <x v="0"/>
  </r>
  <r>
    <n v="1632"/>
    <x v="631"/>
    <x v="631"/>
    <d v="2023-07-11T13:30:41"/>
    <s v="Customer_160"/>
    <x v="3"/>
    <s v="Healthy"/>
    <x v="4"/>
    <n v="1"/>
    <n v="849"/>
    <x v="545"/>
    <n v="13"/>
    <x v="1"/>
  </r>
  <r>
    <n v="1633"/>
    <x v="632"/>
    <x v="632"/>
    <d v="2023-07-11T20:47:50"/>
    <s v="Customer_56"/>
    <x v="0"/>
    <s v="Main Course"/>
    <x v="5"/>
    <n v="4"/>
    <n v="455"/>
    <x v="313"/>
    <n v="20"/>
    <x v="2"/>
  </r>
  <r>
    <n v="1634"/>
    <x v="633"/>
    <x v="633"/>
    <d v="2023-07-12T04:05:00"/>
    <s v="Customer_297"/>
    <x v="0"/>
    <s v="Fast Food"/>
    <x v="1"/>
    <n v="3"/>
    <n v="784"/>
    <x v="98"/>
    <n v="4"/>
    <x v="3"/>
  </r>
  <r>
    <n v="1635"/>
    <x v="634"/>
    <x v="634"/>
    <d v="2023-07-12T11:22:10"/>
    <s v="Customer_14"/>
    <x v="3"/>
    <s v="Continental"/>
    <x v="7"/>
    <n v="1"/>
    <n v="832"/>
    <x v="546"/>
    <n v="11"/>
    <x v="4"/>
  </r>
  <r>
    <n v="1636"/>
    <x v="635"/>
    <x v="635"/>
    <d v="2023-07-12T18:39:20"/>
    <s v="Customer_160"/>
    <x v="2"/>
    <s v="Fast Food"/>
    <x v="9"/>
    <n v="1"/>
    <n v="730"/>
    <x v="547"/>
    <n v="18"/>
    <x v="5"/>
  </r>
  <r>
    <n v="1637"/>
    <x v="636"/>
    <x v="636"/>
    <d v="2023-07-13T01:56:30"/>
    <s v="Customer_295"/>
    <x v="2"/>
    <s v="Asian"/>
    <x v="8"/>
    <n v="1"/>
    <n v="408"/>
    <x v="433"/>
    <n v="1"/>
    <x v="6"/>
  </r>
  <r>
    <n v="1638"/>
    <x v="637"/>
    <x v="637"/>
    <d v="2023-07-13T09:13:40"/>
    <s v="Customer_193"/>
    <x v="3"/>
    <s v="Asian"/>
    <x v="3"/>
    <n v="5"/>
    <n v="794"/>
    <x v="548"/>
    <n v="9"/>
    <x v="0"/>
  </r>
  <r>
    <n v="1639"/>
    <x v="638"/>
    <x v="638"/>
    <d v="2023-07-13T16:30:50"/>
    <s v="Customer_204"/>
    <x v="0"/>
    <s v="Main Course"/>
    <x v="2"/>
    <n v="4"/>
    <n v="387"/>
    <x v="549"/>
    <n v="16"/>
    <x v="1"/>
  </r>
  <r>
    <n v="1640"/>
    <x v="639"/>
    <x v="639"/>
    <d v="2023-07-13T23:47:59"/>
    <s v="Customer_102"/>
    <x v="0"/>
    <s v="Fast Food"/>
    <x v="8"/>
    <n v="5"/>
    <n v="406"/>
    <x v="550"/>
    <n v="23"/>
    <x v="2"/>
  </r>
  <r>
    <n v="1641"/>
    <x v="640"/>
    <x v="640"/>
    <d v="2023-07-14T07:05:09"/>
    <s v="Customer_39"/>
    <x v="2"/>
    <s v="Healthy"/>
    <x v="7"/>
    <n v="4"/>
    <n v="911"/>
    <x v="551"/>
    <n v="7"/>
    <x v="3"/>
  </r>
  <r>
    <n v="1642"/>
    <x v="641"/>
    <x v="641"/>
    <d v="2023-07-14T14:22:19"/>
    <s v="Customer_125"/>
    <x v="1"/>
    <s v="Main Course"/>
    <x v="7"/>
    <n v="5"/>
    <n v="693"/>
    <x v="552"/>
    <n v="14"/>
    <x v="4"/>
  </r>
  <r>
    <n v="1643"/>
    <x v="642"/>
    <x v="642"/>
    <d v="2023-07-14T21:39:29"/>
    <s v="Customer_53"/>
    <x v="3"/>
    <s v="Main Course"/>
    <x v="8"/>
    <n v="5"/>
    <n v="822"/>
    <x v="553"/>
    <n v="21"/>
    <x v="5"/>
  </r>
  <r>
    <n v="1644"/>
    <x v="643"/>
    <x v="643"/>
    <d v="2023-07-15T04:56:39"/>
    <s v="Customer_155"/>
    <x v="3"/>
    <s v="Fast Food"/>
    <x v="9"/>
    <n v="3"/>
    <n v="761"/>
    <x v="554"/>
    <n v="4"/>
    <x v="6"/>
  </r>
  <r>
    <n v="1645"/>
    <x v="644"/>
    <x v="644"/>
    <d v="2023-07-15T12:13:49"/>
    <s v="Customer_62"/>
    <x v="2"/>
    <s v="Continental"/>
    <x v="0"/>
    <n v="5"/>
    <n v="648"/>
    <x v="105"/>
    <n v="12"/>
    <x v="0"/>
  </r>
  <r>
    <n v="1646"/>
    <x v="645"/>
    <x v="645"/>
    <d v="2023-07-15T19:30:59"/>
    <s v="Customer_290"/>
    <x v="3"/>
    <s v="Asian"/>
    <x v="5"/>
    <n v="2"/>
    <n v="451"/>
    <x v="555"/>
    <n v="19"/>
    <x v="1"/>
  </r>
  <r>
    <n v="1647"/>
    <x v="646"/>
    <x v="646"/>
    <d v="2023-07-16T02:48:08"/>
    <s v="Customer_22"/>
    <x v="0"/>
    <s v="Healthy"/>
    <x v="7"/>
    <n v="3"/>
    <n v="411"/>
    <x v="556"/>
    <n v="2"/>
    <x v="2"/>
  </r>
  <r>
    <n v="1648"/>
    <x v="647"/>
    <x v="647"/>
    <d v="2023-07-16T10:05:18"/>
    <s v="Customer_178"/>
    <x v="2"/>
    <s v="Asian"/>
    <x v="6"/>
    <n v="5"/>
    <n v="972"/>
    <x v="557"/>
    <n v="10"/>
    <x v="3"/>
  </r>
  <r>
    <n v="1649"/>
    <x v="648"/>
    <x v="648"/>
    <d v="2023-07-16T17:22:28"/>
    <s v="Customer_273"/>
    <x v="0"/>
    <s v="Main Course"/>
    <x v="4"/>
    <n v="1"/>
    <n v="158"/>
    <x v="558"/>
    <n v="17"/>
    <x v="4"/>
  </r>
  <r>
    <n v="1650"/>
    <x v="649"/>
    <x v="649"/>
    <d v="2023-07-17T00:39:38"/>
    <s v="Customer_220"/>
    <x v="1"/>
    <s v="Continental"/>
    <x v="0"/>
    <n v="2"/>
    <n v="742"/>
    <x v="559"/>
    <n v="0"/>
    <x v="5"/>
  </r>
  <r>
    <n v="1651"/>
    <x v="650"/>
    <x v="650"/>
    <d v="2023-07-17T07:56:48"/>
    <s v="Customer_190"/>
    <x v="3"/>
    <s v="Main Course"/>
    <x v="1"/>
    <n v="2"/>
    <n v="813"/>
    <x v="560"/>
    <n v="7"/>
    <x v="6"/>
  </r>
  <r>
    <n v="1652"/>
    <x v="651"/>
    <x v="651"/>
    <d v="2023-07-17T15:13:58"/>
    <s v="Customer_36"/>
    <x v="3"/>
    <s v="Continental"/>
    <x v="1"/>
    <n v="2"/>
    <n v="854"/>
    <x v="275"/>
    <n v="15"/>
    <x v="0"/>
  </r>
  <r>
    <n v="1653"/>
    <x v="652"/>
    <x v="652"/>
    <d v="2023-07-17T22:31:08"/>
    <s v="Customer_260"/>
    <x v="0"/>
    <s v="Fast Food"/>
    <x v="3"/>
    <n v="3"/>
    <n v="134"/>
    <x v="475"/>
    <n v="22"/>
    <x v="1"/>
  </r>
  <r>
    <n v="1654"/>
    <x v="653"/>
    <x v="653"/>
    <d v="2023-07-18T05:48:17"/>
    <s v="Customer_175"/>
    <x v="2"/>
    <s v="Asian"/>
    <x v="1"/>
    <n v="5"/>
    <n v="544"/>
    <x v="561"/>
    <n v="5"/>
    <x v="2"/>
  </r>
  <r>
    <n v="1655"/>
    <x v="654"/>
    <x v="654"/>
    <d v="2023-07-18T13:05:27"/>
    <s v="Customer_7"/>
    <x v="2"/>
    <s v="Main Course"/>
    <x v="1"/>
    <n v="5"/>
    <n v="192"/>
    <x v="215"/>
    <n v="13"/>
    <x v="3"/>
  </r>
  <r>
    <n v="1656"/>
    <x v="655"/>
    <x v="655"/>
    <d v="2023-07-18T20:22:37"/>
    <s v="Customer_216"/>
    <x v="3"/>
    <s v="Continental"/>
    <x v="2"/>
    <n v="1"/>
    <n v="306"/>
    <x v="562"/>
    <n v="20"/>
    <x v="4"/>
  </r>
  <r>
    <n v="1657"/>
    <x v="656"/>
    <x v="656"/>
    <d v="2023-07-19T03:39:47"/>
    <s v="Customer_251"/>
    <x v="0"/>
    <s v="Continental"/>
    <x v="8"/>
    <n v="1"/>
    <n v="452"/>
    <x v="534"/>
    <n v="3"/>
    <x v="5"/>
  </r>
  <r>
    <n v="1658"/>
    <x v="657"/>
    <x v="657"/>
    <d v="2023-07-19T10:56:57"/>
    <s v="Customer_55"/>
    <x v="1"/>
    <s v="Main Course"/>
    <x v="1"/>
    <n v="2"/>
    <n v="431"/>
    <x v="563"/>
    <n v="10"/>
    <x v="6"/>
  </r>
  <r>
    <n v="1659"/>
    <x v="658"/>
    <x v="658"/>
    <d v="2023-07-19T18:14:07"/>
    <s v="Customer_222"/>
    <x v="0"/>
    <s v="Asian"/>
    <x v="7"/>
    <n v="1"/>
    <n v="916"/>
    <x v="564"/>
    <n v="18"/>
    <x v="0"/>
  </r>
  <r>
    <n v="1660"/>
    <x v="659"/>
    <x v="659"/>
    <d v="2023-07-20T01:31:17"/>
    <s v="Customer_186"/>
    <x v="2"/>
    <s v="Fast Food"/>
    <x v="5"/>
    <n v="3"/>
    <n v="961"/>
    <x v="565"/>
    <n v="1"/>
    <x v="1"/>
  </r>
  <r>
    <n v="1661"/>
    <x v="660"/>
    <x v="660"/>
    <d v="2023-07-20T08:48:26"/>
    <s v="Customer_236"/>
    <x v="3"/>
    <s v="Fast Food"/>
    <x v="8"/>
    <n v="5"/>
    <n v="824"/>
    <x v="566"/>
    <n v="8"/>
    <x v="2"/>
  </r>
  <r>
    <n v="1662"/>
    <x v="661"/>
    <x v="661"/>
    <d v="2023-07-20T16:05:36"/>
    <s v="Customer_79"/>
    <x v="3"/>
    <s v="Healthy"/>
    <x v="6"/>
    <n v="2"/>
    <n v="258"/>
    <x v="567"/>
    <n v="16"/>
    <x v="3"/>
  </r>
  <r>
    <n v="1663"/>
    <x v="662"/>
    <x v="662"/>
    <d v="2023-07-20T23:22:46"/>
    <s v="Customer_223"/>
    <x v="3"/>
    <s v="Healthy"/>
    <x v="7"/>
    <n v="1"/>
    <n v="123"/>
    <x v="568"/>
    <n v="23"/>
    <x v="4"/>
  </r>
  <r>
    <n v="1664"/>
    <x v="663"/>
    <x v="663"/>
    <d v="2023-07-21T06:39:56"/>
    <s v="Customer_91"/>
    <x v="1"/>
    <s v="Healthy"/>
    <x v="6"/>
    <n v="3"/>
    <n v="503"/>
    <x v="569"/>
    <n v="6"/>
    <x v="5"/>
  </r>
  <r>
    <n v="1665"/>
    <x v="664"/>
    <x v="664"/>
    <d v="2023-07-21T13:57:06"/>
    <s v="Customer_268"/>
    <x v="1"/>
    <s v="Asian"/>
    <x v="8"/>
    <n v="3"/>
    <n v="904"/>
    <x v="570"/>
    <n v="13"/>
    <x v="6"/>
  </r>
  <r>
    <n v="1666"/>
    <x v="665"/>
    <x v="665"/>
    <d v="2023-07-21T21:14:16"/>
    <s v="Customer_139"/>
    <x v="2"/>
    <s v="Healthy"/>
    <x v="7"/>
    <n v="1"/>
    <n v="615"/>
    <x v="571"/>
    <n v="21"/>
    <x v="0"/>
  </r>
  <r>
    <n v="1667"/>
    <x v="666"/>
    <x v="666"/>
    <d v="2023-07-22T04:31:26"/>
    <s v="Customer_276"/>
    <x v="0"/>
    <s v="Healthy"/>
    <x v="2"/>
    <n v="5"/>
    <n v="831"/>
    <x v="572"/>
    <n v="4"/>
    <x v="1"/>
  </r>
  <r>
    <n v="1668"/>
    <x v="667"/>
    <x v="667"/>
    <d v="2023-07-22T11:48:35"/>
    <s v="Customer_248"/>
    <x v="0"/>
    <s v="Asian"/>
    <x v="5"/>
    <n v="1"/>
    <n v="463"/>
    <x v="573"/>
    <n v="11"/>
    <x v="2"/>
  </r>
  <r>
    <n v="1669"/>
    <x v="668"/>
    <x v="668"/>
    <d v="2023-07-22T19:05:45"/>
    <s v="Customer_239"/>
    <x v="0"/>
    <s v="Healthy"/>
    <x v="7"/>
    <n v="2"/>
    <n v="481"/>
    <x v="574"/>
    <n v="19"/>
    <x v="3"/>
  </r>
  <r>
    <n v="1670"/>
    <x v="669"/>
    <x v="669"/>
    <d v="2023-07-23T02:22:55"/>
    <s v="Customer_224"/>
    <x v="1"/>
    <s v="Fast Food"/>
    <x v="0"/>
    <n v="1"/>
    <n v="631"/>
    <x v="575"/>
    <n v="2"/>
    <x v="4"/>
  </r>
  <r>
    <n v="1671"/>
    <x v="670"/>
    <x v="670"/>
    <d v="2023-07-23T09:40:05"/>
    <s v="Customer_138"/>
    <x v="3"/>
    <s v="Main Course"/>
    <x v="0"/>
    <n v="3"/>
    <n v="251"/>
    <x v="132"/>
    <n v="9"/>
    <x v="5"/>
  </r>
  <r>
    <n v="1672"/>
    <x v="671"/>
    <x v="671"/>
    <d v="2023-07-23T16:57:15"/>
    <s v="Customer_166"/>
    <x v="2"/>
    <s v="Fast Food"/>
    <x v="6"/>
    <n v="1"/>
    <n v="661"/>
    <x v="438"/>
    <n v="16"/>
    <x v="6"/>
  </r>
  <r>
    <n v="1673"/>
    <x v="672"/>
    <x v="672"/>
    <d v="2023-07-24T00:14:25"/>
    <s v="Customer_126"/>
    <x v="2"/>
    <s v="Fast Food"/>
    <x v="7"/>
    <n v="5"/>
    <n v="788"/>
    <x v="367"/>
    <n v="0"/>
    <x v="0"/>
  </r>
  <r>
    <n v="1674"/>
    <x v="673"/>
    <x v="673"/>
    <d v="2023-07-24T07:31:35"/>
    <s v="Customer_45"/>
    <x v="1"/>
    <s v="Continental"/>
    <x v="0"/>
    <n v="4"/>
    <n v="707"/>
    <x v="576"/>
    <n v="7"/>
    <x v="1"/>
  </r>
  <r>
    <n v="1675"/>
    <x v="674"/>
    <x v="674"/>
    <d v="2023-07-24T14:48:44"/>
    <s v="Customer_143"/>
    <x v="1"/>
    <s v="Main Course"/>
    <x v="3"/>
    <n v="1"/>
    <n v="716"/>
    <x v="577"/>
    <n v="14"/>
    <x v="2"/>
  </r>
  <r>
    <n v="1676"/>
    <x v="675"/>
    <x v="675"/>
    <d v="2023-07-24T22:05:54"/>
    <s v="Customer_231"/>
    <x v="3"/>
    <s v="Fast Food"/>
    <x v="1"/>
    <n v="5"/>
    <n v="519"/>
    <x v="578"/>
    <n v="22"/>
    <x v="3"/>
  </r>
  <r>
    <n v="1677"/>
    <x v="676"/>
    <x v="676"/>
    <d v="2023-07-25T05:23:04"/>
    <s v="Customer_125"/>
    <x v="3"/>
    <s v="Main Course"/>
    <x v="1"/>
    <n v="5"/>
    <n v="349"/>
    <x v="579"/>
    <n v="5"/>
    <x v="4"/>
  </r>
  <r>
    <n v="1678"/>
    <x v="677"/>
    <x v="677"/>
    <d v="2023-07-25T12:40:14"/>
    <s v="Customer_238"/>
    <x v="1"/>
    <s v="Fast Food"/>
    <x v="8"/>
    <n v="3"/>
    <n v="216"/>
    <x v="580"/>
    <n v="12"/>
    <x v="5"/>
  </r>
  <r>
    <n v="1679"/>
    <x v="678"/>
    <x v="678"/>
    <d v="2023-07-25T19:57:24"/>
    <s v="Customer_292"/>
    <x v="2"/>
    <s v="Asian"/>
    <x v="3"/>
    <n v="5"/>
    <n v="965"/>
    <x v="581"/>
    <n v="19"/>
    <x v="6"/>
  </r>
  <r>
    <n v="1680"/>
    <x v="679"/>
    <x v="679"/>
    <d v="2023-07-26T03:14:34"/>
    <s v="Customer_195"/>
    <x v="3"/>
    <s v="Asian"/>
    <x v="9"/>
    <n v="5"/>
    <n v="611"/>
    <x v="582"/>
    <n v="3"/>
    <x v="0"/>
  </r>
  <r>
    <n v="1681"/>
    <x v="680"/>
    <x v="680"/>
    <d v="2023-07-26T10:31:44"/>
    <s v="Customer_173"/>
    <x v="3"/>
    <s v="Healthy"/>
    <x v="5"/>
    <n v="5"/>
    <n v="839"/>
    <x v="583"/>
    <n v="10"/>
    <x v="1"/>
  </r>
  <r>
    <n v="1682"/>
    <x v="681"/>
    <x v="681"/>
    <d v="2023-07-26T17:48:53"/>
    <s v="Customer_15"/>
    <x v="2"/>
    <s v="Asian"/>
    <x v="4"/>
    <n v="5"/>
    <n v="677"/>
    <x v="584"/>
    <n v="17"/>
    <x v="2"/>
  </r>
  <r>
    <n v="1683"/>
    <x v="682"/>
    <x v="682"/>
    <d v="2023-07-27T01:06:03"/>
    <s v="Customer_254"/>
    <x v="3"/>
    <s v="Main Course"/>
    <x v="9"/>
    <n v="2"/>
    <n v="434"/>
    <x v="585"/>
    <n v="1"/>
    <x v="3"/>
  </r>
  <r>
    <n v="1684"/>
    <x v="683"/>
    <x v="683"/>
    <d v="2023-07-27T08:23:13"/>
    <s v="Customer_167"/>
    <x v="2"/>
    <s v="Continental"/>
    <x v="1"/>
    <n v="2"/>
    <n v="517"/>
    <x v="586"/>
    <n v="8"/>
    <x v="4"/>
  </r>
  <r>
    <n v="1685"/>
    <x v="684"/>
    <x v="684"/>
    <d v="2023-07-27T15:40:23"/>
    <s v="Customer_94"/>
    <x v="0"/>
    <s v="Healthy"/>
    <x v="5"/>
    <n v="3"/>
    <n v="873"/>
    <x v="587"/>
    <n v="15"/>
    <x v="5"/>
  </r>
  <r>
    <n v="1686"/>
    <x v="685"/>
    <x v="685"/>
    <d v="2023-07-27T22:57:33"/>
    <s v="Customer_250"/>
    <x v="3"/>
    <s v="Fast Food"/>
    <x v="0"/>
    <n v="1"/>
    <n v="394"/>
    <x v="588"/>
    <n v="22"/>
    <x v="6"/>
  </r>
  <r>
    <n v="1687"/>
    <x v="686"/>
    <x v="686"/>
    <d v="2023-07-28T06:14:43"/>
    <s v="Customer_109"/>
    <x v="3"/>
    <s v="Asian"/>
    <x v="9"/>
    <n v="5"/>
    <n v="854"/>
    <x v="589"/>
    <n v="6"/>
    <x v="0"/>
  </r>
  <r>
    <n v="1688"/>
    <x v="687"/>
    <x v="687"/>
    <d v="2023-07-28T13:31:53"/>
    <s v="Customer_182"/>
    <x v="0"/>
    <s v="Healthy"/>
    <x v="0"/>
    <n v="1"/>
    <n v="470"/>
    <x v="590"/>
    <n v="13"/>
    <x v="1"/>
  </r>
  <r>
    <n v="1689"/>
    <x v="688"/>
    <x v="688"/>
    <d v="2023-07-28T20:49:02"/>
    <s v="Customer_133"/>
    <x v="2"/>
    <s v="Asian"/>
    <x v="2"/>
    <n v="1"/>
    <n v="285"/>
    <x v="591"/>
    <n v="20"/>
    <x v="2"/>
  </r>
  <r>
    <n v="1690"/>
    <x v="689"/>
    <x v="689"/>
    <d v="2023-07-29T04:06:12"/>
    <s v="Customer_175"/>
    <x v="3"/>
    <s v="Healthy"/>
    <x v="8"/>
    <n v="3"/>
    <n v="345"/>
    <x v="152"/>
    <n v="4"/>
    <x v="3"/>
  </r>
  <r>
    <n v="1691"/>
    <x v="690"/>
    <x v="690"/>
    <d v="2023-07-29T11:23:22"/>
    <s v="Customer_144"/>
    <x v="0"/>
    <s v="Main Course"/>
    <x v="5"/>
    <n v="5"/>
    <n v="736"/>
    <x v="592"/>
    <n v="11"/>
    <x v="4"/>
  </r>
  <r>
    <n v="1692"/>
    <x v="691"/>
    <x v="691"/>
    <d v="2023-07-29T18:40:32"/>
    <s v="Customer_142"/>
    <x v="2"/>
    <s v="Main Course"/>
    <x v="5"/>
    <n v="5"/>
    <n v="367"/>
    <x v="593"/>
    <n v="18"/>
    <x v="5"/>
  </r>
  <r>
    <n v="1693"/>
    <x v="692"/>
    <x v="692"/>
    <d v="2023-07-30T01:57:42"/>
    <s v="Customer_285"/>
    <x v="3"/>
    <s v="Fast Food"/>
    <x v="9"/>
    <n v="4"/>
    <n v="742"/>
    <x v="594"/>
    <n v="1"/>
    <x v="6"/>
  </r>
  <r>
    <n v="1694"/>
    <x v="693"/>
    <x v="693"/>
    <d v="2023-07-30T09:14:52"/>
    <s v="Customer_6"/>
    <x v="1"/>
    <s v="Healthy"/>
    <x v="7"/>
    <n v="1"/>
    <n v="336"/>
    <x v="595"/>
    <n v="9"/>
    <x v="0"/>
  </r>
  <r>
    <n v="1695"/>
    <x v="694"/>
    <x v="694"/>
    <d v="2023-07-30T16:32:02"/>
    <s v="Customer_265"/>
    <x v="0"/>
    <s v="Continental"/>
    <x v="8"/>
    <n v="1"/>
    <n v="629"/>
    <x v="596"/>
    <n v="16"/>
    <x v="1"/>
  </r>
  <r>
    <n v="1696"/>
    <x v="695"/>
    <x v="695"/>
    <d v="2023-07-30T23:49:11"/>
    <s v="Customer_98"/>
    <x v="2"/>
    <s v="Main Course"/>
    <x v="8"/>
    <n v="2"/>
    <n v="651"/>
    <x v="597"/>
    <n v="23"/>
    <x v="2"/>
  </r>
  <r>
    <n v="1697"/>
    <x v="696"/>
    <x v="696"/>
    <d v="2023-07-31T07:06:21"/>
    <s v="Customer_44"/>
    <x v="1"/>
    <s v="Fast Food"/>
    <x v="6"/>
    <n v="4"/>
    <n v="120"/>
    <x v="198"/>
    <n v="7"/>
    <x v="3"/>
  </r>
  <r>
    <n v="1698"/>
    <x v="697"/>
    <x v="697"/>
    <d v="2023-07-31T14:23:31"/>
    <s v="Customer_124"/>
    <x v="2"/>
    <s v="Healthy"/>
    <x v="6"/>
    <n v="2"/>
    <n v="836"/>
    <x v="202"/>
    <n v="14"/>
    <x v="4"/>
  </r>
  <r>
    <n v="1699"/>
    <x v="698"/>
    <x v="698"/>
    <d v="2023-07-31T21:40:41"/>
    <s v="Customer_209"/>
    <x v="1"/>
    <s v="Fast Food"/>
    <x v="1"/>
    <n v="2"/>
    <n v="966"/>
    <x v="598"/>
    <n v="21"/>
    <x v="5"/>
  </r>
  <r>
    <n v="1700"/>
    <x v="699"/>
    <x v="699"/>
    <d v="2023-08-01T04:57:51"/>
    <s v="Customer_251"/>
    <x v="1"/>
    <s v="Main Course"/>
    <x v="5"/>
    <n v="2"/>
    <n v="893"/>
    <x v="599"/>
    <n v="4"/>
    <x v="6"/>
  </r>
  <r>
    <n v="1701"/>
    <x v="700"/>
    <x v="700"/>
    <d v="2023-08-01T12:15:01"/>
    <s v="Customer_285"/>
    <x v="0"/>
    <s v="Fast Food"/>
    <x v="5"/>
    <n v="3"/>
    <n v="619"/>
    <x v="600"/>
    <n v="12"/>
    <x v="0"/>
  </r>
  <r>
    <n v="1702"/>
    <x v="701"/>
    <x v="701"/>
    <d v="2023-08-01T19:32:11"/>
    <s v="Customer_124"/>
    <x v="0"/>
    <s v="Healthy"/>
    <x v="7"/>
    <n v="3"/>
    <n v="199"/>
    <x v="601"/>
    <n v="19"/>
    <x v="1"/>
  </r>
  <r>
    <n v="1703"/>
    <x v="702"/>
    <x v="702"/>
    <d v="2023-08-02T02:49:20"/>
    <s v="Customer_244"/>
    <x v="1"/>
    <s v="Asian"/>
    <x v="0"/>
    <n v="2"/>
    <n v="851"/>
    <x v="602"/>
    <n v="2"/>
    <x v="2"/>
  </r>
  <r>
    <n v="1704"/>
    <x v="703"/>
    <x v="703"/>
    <d v="2023-08-02T10:06:30"/>
    <s v="Customer_252"/>
    <x v="0"/>
    <s v="Continental"/>
    <x v="4"/>
    <n v="4"/>
    <n v="577"/>
    <x v="603"/>
    <n v="10"/>
    <x v="3"/>
  </r>
  <r>
    <n v="1705"/>
    <x v="704"/>
    <x v="704"/>
    <d v="2023-08-02T17:23:40"/>
    <s v="Customer_230"/>
    <x v="2"/>
    <s v="Main Course"/>
    <x v="2"/>
    <n v="1"/>
    <n v="698"/>
    <x v="604"/>
    <n v="17"/>
    <x v="4"/>
  </r>
  <r>
    <n v="1706"/>
    <x v="705"/>
    <x v="705"/>
    <d v="2023-08-03T00:40:50"/>
    <s v="Customer_9"/>
    <x v="3"/>
    <s v="Healthy"/>
    <x v="4"/>
    <n v="4"/>
    <n v="397"/>
    <x v="605"/>
    <n v="0"/>
    <x v="5"/>
  </r>
  <r>
    <n v="1707"/>
    <x v="706"/>
    <x v="706"/>
    <d v="2023-08-03T07:58:00"/>
    <s v="Customer_48"/>
    <x v="2"/>
    <s v="Healthy"/>
    <x v="1"/>
    <n v="5"/>
    <n v="625"/>
    <x v="130"/>
    <n v="7"/>
    <x v="6"/>
  </r>
  <r>
    <n v="1708"/>
    <x v="707"/>
    <x v="707"/>
    <d v="2023-08-03T15:15:10"/>
    <s v="Customer_151"/>
    <x v="1"/>
    <s v="Fast Food"/>
    <x v="5"/>
    <n v="3"/>
    <n v="433"/>
    <x v="606"/>
    <n v="15"/>
    <x v="0"/>
  </r>
  <r>
    <n v="1709"/>
    <x v="708"/>
    <x v="708"/>
    <d v="2023-08-03T22:32:20"/>
    <s v="Customer_114"/>
    <x v="2"/>
    <s v="Main Course"/>
    <x v="9"/>
    <n v="1"/>
    <n v="101"/>
    <x v="607"/>
    <n v="22"/>
    <x v="1"/>
  </r>
  <r>
    <n v="1710"/>
    <x v="709"/>
    <x v="709"/>
    <d v="2023-08-04T05:49:29"/>
    <s v="Customer_208"/>
    <x v="1"/>
    <s v="Asian"/>
    <x v="9"/>
    <n v="1"/>
    <n v="474"/>
    <x v="608"/>
    <n v="5"/>
    <x v="2"/>
  </r>
  <r>
    <n v="1711"/>
    <x v="710"/>
    <x v="710"/>
    <d v="2023-08-04T13:06:39"/>
    <s v="Customer_125"/>
    <x v="2"/>
    <s v="Asian"/>
    <x v="9"/>
    <n v="5"/>
    <n v="392"/>
    <x v="609"/>
    <n v="13"/>
    <x v="3"/>
  </r>
  <r>
    <n v="1712"/>
    <x v="711"/>
    <x v="711"/>
    <d v="2023-08-04T20:23:49"/>
    <s v="Customer_157"/>
    <x v="2"/>
    <s v="Continental"/>
    <x v="4"/>
    <n v="5"/>
    <n v="936"/>
    <x v="610"/>
    <n v="20"/>
    <x v="4"/>
  </r>
  <r>
    <n v="1713"/>
    <x v="712"/>
    <x v="712"/>
    <d v="2023-08-05T03:40:59"/>
    <s v="Customer_298"/>
    <x v="0"/>
    <s v="Continental"/>
    <x v="6"/>
    <n v="2"/>
    <n v="652"/>
    <x v="22"/>
    <n v="3"/>
    <x v="5"/>
  </r>
  <r>
    <n v="1714"/>
    <x v="713"/>
    <x v="713"/>
    <d v="2023-08-05T10:58:09"/>
    <s v="Customer_189"/>
    <x v="1"/>
    <s v="Fast Food"/>
    <x v="0"/>
    <n v="3"/>
    <n v="417"/>
    <x v="522"/>
    <n v="10"/>
    <x v="6"/>
  </r>
  <r>
    <n v="1715"/>
    <x v="714"/>
    <x v="714"/>
    <d v="2023-08-05T18:15:19"/>
    <s v="Customer_243"/>
    <x v="1"/>
    <s v="Main Course"/>
    <x v="4"/>
    <n v="3"/>
    <n v="601"/>
    <x v="611"/>
    <n v="18"/>
    <x v="0"/>
  </r>
  <r>
    <n v="1716"/>
    <x v="715"/>
    <x v="715"/>
    <d v="2023-08-06T01:32:29"/>
    <s v="Customer_284"/>
    <x v="3"/>
    <s v="Asian"/>
    <x v="7"/>
    <n v="4"/>
    <n v="927"/>
    <x v="612"/>
    <n v="1"/>
    <x v="1"/>
  </r>
  <r>
    <n v="1717"/>
    <x v="716"/>
    <x v="716"/>
    <d v="2023-08-06T08:49:38"/>
    <s v="Customer_272"/>
    <x v="2"/>
    <s v="Main Course"/>
    <x v="9"/>
    <n v="2"/>
    <n v="480"/>
    <x v="215"/>
    <n v="8"/>
    <x v="2"/>
  </r>
  <r>
    <n v="1718"/>
    <x v="717"/>
    <x v="717"/>
    <d v="2023-08-06T16:06:48"/>
    <s v="Customer_177"/>
    <x v="2"/>
    <s v="Fast Food"/>
    <x v="6"/>
    <n v="2"/>
    <n v="722"/>
    <x v="613"/>
    <n v="16"/>
    <x v="3"/>
  </r>
  <r>
    <n v="1719"/>
    <x v="718"/>
    <x v="718"/>
    <d v="2023-08-06T23:23:58"/>
    <s v="Customer_218"/>
    <x v="3"/>
    <s v="Main Course"/>
    <x v="8"/>
    <n v="2"/>
    <n v="113"/>
    <x v="538"/>
    <n v="23"/>
    <x v="4"/>
  </r>
  <r>
    <n v="1720"/>
    <x v="719"/>
    <x v="719"/>
    <d v="2023-08-07T06:41:08"/>
    <s v="Customer_282"/>
    <x v="1"/>
    <s v="Main Course"/>
    <x v="5"/>
    <n v="2"/>
    <n v="603"/>
    <x v="614"/>
    <n v="6"/>
    <x v="5"/>
  </r>
  <r>
    <n v="1721"/>
    <x v="720"/>
    <x v="720"/>
    <d v="2023-08-07T13:58:18"/>
    <s v="Customer_170"/>
    <x v="2"/>
    <s v="Main Course"/>
    <x v="3"/>
    <n v="3"/>
    <n v="330"/>
    <x v="615"/>
    <n v="13"/>
    <x v="6"/>
  </r>
  <r>
    <n v="1722"/>
    <x v="721"/>
    <x v="721"/>
    <d v="2023-08-07T21:15:28"/>
    <s v="Customer_181"/>
    <x v="3"/>
    <s v="Fast Food"/>
    <x v="5"/>
    <n v="3"/>
    <n v="183"/>
    <x v="616"/>
    <n v="21"/>
    <x v="0"/>
  </r>
  <r>
    <n v="1723"/>
    <x v="722"/>
    <x v="722"/>
    <d v="2023-08-08T04:32:38"/>
    <s v="Customer_233"/>
    <x v="3"/>
    <s v="Fast Food"/>
    <x v="7"/>
    <n v="2"/>
    <n v="229"/>
    <x v="177"/>
    <n v="4"/>
    <x v="1"/>
  </r>
  <r>
    <n v="1724"/>
    <x v="723"/>
    <x v="723"/>
    <d v="2023-08-08T11:49:47"/>
    <s v="Customer_139"/>
    <x v="3"/>
    <s v="Fast Food"/>
    <x v="0"/>
    <n v="4"/>
    <n v="842"/>
    <x v="617"/>
    <n v="11"/>
    <x v="2"/>
  </r>
  <r>
    <n v="1725"/>
    <x v="724"/>
    <x v="724"/>
    <d v="2023-08-08T19:06:57"/>
    <s v="Customer_157"/>
    <x v="2"/>
    <s v="Asian"/>
    <x v="7"/>
    <n v="1"/>
    <n v="937"/>
    <x v="618"/>
    <n v="19"/>
    <x v="3"/>
  </r>
  <r>
    <n v="1726"/>
    <x v="725"/>
    <x v="725"/>
    <d v="2023-08-09T02:24:07"/>
    <s v="Customer_129"/>
    <x v="1"/>
    <s v="Healthy"/>
    <x v="0"/>
    <n v="1"/>
    <n v="244"/>
    <x v="619"/>
    <n v="2"/>
    <x v="4"/>
  </r>
  <r>
    <n v="1727"/>
    <x v="726"/>
    <x v="726"/>
    <d v="2023-08-09T09:41:17"/>
    <s v="Customer_119"/>
    <x v="1"/>
    <s v="Main Course"/>
    <x v="7"/>
    <n v="4"/>
    <n v="990"/>
    <x v="167"/>
    <n v="9"/>
    <x v="5"/>
  </r>
  <r>
    <n v="1728"/>
    <x v="727"/>
    <x v="727"/>
    <d v="2023-08-09T16:58:27"/>
    <s v="Customer_62"/>
    <x v="3"/>
    <s v="Continental"/>
    <x v="4"/>
    <n v="2"/>
    <n v="956"/>
    <x v="620"/>
    <n v="16"/>
    <x v="6"/>
  </r>
  <r>
    <n v="1729"/>
    <x v="728"/>
    <x v="728"/>
    <d v="2023-08-10T00:15:37"/>
    <s v="Customer_99"/>
    <x v="3"/>
    <s v="Continental"/>
    <x v="6"/>
    <n v="3"/>
    <n v="127"/>
    <x v="621"/>
    <n v="0"/>
    <x v="0"/>
  </r>
  <r>
    <n v="1730"/>
    <x v="729"/>
    <x v="729"/>
    <d v="2023-08-10T07:32:47"/>
    <s v="Customer_162"/>
    <x v="1"/>
    <s v="Healthy"/>
    <x v="3"/>
    <n v="1"/>
    <n v="165"/>
    <x v="622"/>
    <n v="7"/>
    <x v="1"/>
  </r>
  <r>
    <n v="1731"/>
    <x v="730"/>
    <x v="730"/>
    <d v="2023-08-10T14:49:56"/>
    <s v="Customer_62"/>
    <x v="3"/>
    <s v="Main Course"/>
    <x v="2"/>
    <n v="5"/>
    <n v="262"/>
    <x v="421"/>
    <n v="14"/>
    <x v="2"/>
  </r>
  <r>
    <n v="1732"/>
    <x v="731"/>
    <x v="731"/>
    <d v="2023-08-10T22:07:06"/>
    <s v="Customer_275"/>
    <x v="3"/>
    <s v="Main Course"/>
    <x v="2"/>
    <n v="5"/>
    <n v="328"/>
    <x v="623"/>
    <n v="22"/>
    <x v="3"/>
  </r>
  <r>
    <n v="1733"/>
    <x v="732"/>
    <x v="732"/>
    <d v="2023-08-11T05:24:16"/>
    <s v="Customer_95"/>
    <x v="1"/>
    <s v="Main Course"/>
    <x v="9"/>
    <n v="4"/>
    <n v="360"/>
    <x v="270"/>
    <n v="5"/>
    <x v="4"/>
  </r>
  <r>
    <n v="1734"/>
    <x v="733"/>
    <x v="733"/>
    <d v="2023-08-11T12:41:26"/>
    <s v="Customer_99"/>
    <x v="2"/>
    <s v="Fast Food"/>
    <x v="4"/>
    <n v="2"/>
    <n v="548"/>
    <x v="624"/>
    <n v="12"/>
    <x v="5"/>
  </r>
  <r>
    <n v="1735"/>
    <x v="734"/>
    <x v="734"/>
    <d v="2023-08-11T19:58:36"/>
    <s v="Customer_111"/>
    <x v="3"/>
    <s v="Asian"/>
    <x v="7"/>
    <n v="1"/>
    <n v="523"/>
    <x v="625"/>
    <n v="19"/>
    <x v="6"/>
  </r>
  <r>
    <n v="1736"/>
    <x v="735"/>
    <x v="735"/>
    <d v="2023-08-12T03:15:46"/>
    <s v="Customer_248"/>
    <x v="2"/>
    <s v="Fast Food"/>
    <x v="0"/>
    <n v="2"/>
    <n v="559"/>
    <x v="380"/>
    <n v="3"/>
    <x v="0"/>
  </r>
  <r>
    <n v="1737"/>
    <x v="736"/>
    <x v="736"/>
    <d v="2023-08-12T10:32:56"/>
    <s v="Customer_142"/>
    <x v="3"/>
    <s v="Main Course"/>
    <x v="6"/>
    <n v="1"/>
    <n v="775"/>
    <x v="626"/>
    <n v="10"/>
    <x v="1"/>
  </r>
  <r>
    <n v="1738"/>
    <x v="737"/>
    <x v="737"/>
    <d v="2023-08-12T17:50:06"/>
    <s v="Customer_269"/>
    <x v="3"/>
    <s v="Healthy"/>
    <x v="7"/>
    <n v="4"/>
    <n v="400"/>
    <x v="473"/>
    <n v="17"/>
    <x v="2"/>
  </r>
  <r>
    <n v="1739"/>
    <x v="738"/>
    <x v="738"/>
    <d v="2023-08-13T01:07:15"/>
    <s v="Customer_145"/>
    <x v="3"/>
    <s v="Main Course"/>
    <x v="4"/>
    <n v="4"/>
    <n v="402"/>
    <x v="5"/>
    <n v="1"/>
    <x v="3"/>
  </r>
  <r>
    <n v="1740"/>
    <x v="739"/>
    <x v="739"/>
    <d v="2023-08-13T08:24:25"/>
    <s v="Customer_52"/>
    <x v="0"/>
    <s v="Main Course"/>
    <x v="2"/>
    <n v="5"/>
    <n v="386"/>
    <x v="344"/>
    <n v="8"/>
    <x v="4"/>
  </r>
  <r>
    <n v="1741"/>
    <x v="740"/>
    <x v="740"/>
    <d v="2023-08-13T15:41:35"/>
    <s v="Customer_100"/>
    <x v="2"/>
    <s v="Asian"/>
    <x v="3"/>
    <n v="2"/>
    <n v="494"/>
    <x v="627"/>
    <n v="15"/>
    <x v="5"/>
  </r>
  <r>
    <n v="1742"/>
    <x v="741"/>
    <x v="741"/>
    <d v="2023-08-13T22:58:45"/>
    <s v="Customer_152"/>
    <x v="2"/>
    <s v="Main Course"/>
    <x v="3"/>
    <n v="5"/>
    <n v="109"/>
    <x v="628"/>
    <n v="22"/>
    <x v="6"/>
  </r>
  <r>
    <n v="1743"/>
    <x v="742"/>
    <x v="742"/>
    <d v="2023-08-14T06:15:55"/>
    <s v="Customer_117"/>
    <x v="3"/>
    <s v="Fast Food"/>
    <x v="2"/>
    <n v="2"/>
    <n v="806"/>
    <x v="406"/>
    <n v="6"/>
    <x v="0"/>
  </r>
  <r>
    <n v="1744"/>
    <x v="743"/>
    <x v="743"/>
    <d v="2023-08-14T13:33:05"/>
    <s v="Customer_185"/>
    <x v="1"/>
    <s v="Continental"/>
    <x v="6"/>
    <n v="5"/>
    <n v="729"/>
    <x v="629"/>
    <n v="13"/>
    <x v="1"/>
  </r>
  <r>
    <n v="1745"/>
    <x v="744"/>
    <x v="744"/>
    <d v="2023-08-14T20:50:15"/>
    <s v="Customer_92"/>
    <x v="3"/>
    <s v="Asian"/>
    <x v="0"/>
    <n v="3"/>
    <n v="369"/>
    <x v="630"/>
    <n v="20"/>
    <x v="2"/>
  </r>
  <r>
    <n v="1746"/>
    <x v="745"/>
    <x v="745"/>
    <d v="2023-08-15T04:07:24"/>
    <s v="Customer_155"/>
    <x v="0"/>
    <s v="Asian"/>
    <x v="6"/>
    <n v="3"/>
    <n v="691"/>
    <x v="485"/>
    <n v="4"/>
    <x v="3"/>
  </r>
  <r>
    <n v="1747"/>
    <x v="746"/>
    <x v="746"/>
    <d v="2023-08-15T11:24:34"/>
    <s v="Customer_8"/>
    <x v="3"/>
    <s v="Asian"/>
    <x v="9"/>
    <n v="3"/>
    <n v="704"/>
    <x v="182"/>
    <n v="11"/>
    <x v="4"/>
  </r>
  <r>
    <n v="1748"/>
    <x v="747"/>
    <x v="747"/>
    <d v="2023-08-15T18:41:44"/>
    <s v="Customer_274"/>
    <x v="0"/>
    <s v="Main Course"/>
    <x v="6"/>
    <n v="3"/>
    <n v="877"/>
    <x v="631"/>
    <n v="18"/>
    <x v="5"/>
  </r>
  <r>
    <n v="1749"/>
    <x v="748"/>
    <x v="748"/>
    <d v="2023-08-16T01:58:54"/>
    <s v="Customer_65"/>
    <x v="3"/>
    <s v="Asian"/>
    <x v="6"/>
    <n v="1"/>
    <n v="943"/>
    <x v="632"/>
    <n v="1"/>
    <x v="6"/>
  </r>
  <r>
    <n v="1750"/>
    <x v="749"/>
    <x v="749"/>
    <d v="2023-08-16T09:16:04"/>
    <s v="Customer_141"/>
    <x v="2"/>
    <s v="Asian"/>
    <x v="2"/>
    <n v="3"/>
    <n v="961"/>
    <x v="565"/>
    <n v="9"/>
    <x v="0"/>
  </r>
  <r>
    <n v="1751"/>
    <x v="750"/>
    <x v="750"/>
    <d v="2023-08-16T16:33:14"/>
    <s v="Customer_24"/>
    <x v="3"/>
    <s v="Fast Food"/>
    <x v="2"/>
    <n v="4"/>
    <n v="460"/>
    <x v="633"/>
    <n v="16"/>
    <x v="1"/>
  </r>
  <r>
    <n v="1752"/>
    <x v="751"/>
    <x v="751"/>
    <d v="2023-08-16T23:50:24"/>
    <s v="Customer_28"/>
    <x v="2"/>
    <s v="Healthy"/>
    <x v="1"/>
    <n v="4"/>
    <n v="356"/>
    <x v="634"/>
    <n v="23"/>
    <x v="2"/>
  </r>
  <r>
    <n v="1753"/>
    <x v="752"/>
    <x v="752"/>
    <d v="2023-08-17T07:07:33"/>
    <s v="Customer_284"/>
    <x v="1"/>
    <s v="Fast Food"/>
    <x v="9"/>
    <n v="1"/>
    <n v="232"/>
    <x v="73"/>
    <n v="7"/>
    <x v="3"/>
  </r>
  <r>
    <n v="1754"/>
    <x v="753"/>
    <x v="753"/>
    <d v="2023-08-17T14:24:43"/>
    <s v="Customer_150"/>
    <x v="1"/>
    <s v="Fast Food"/>
    <x v="8"/>
    <n v="3"/>
    <n v="375"/>
    <x v="635"/>
    <n v="14"/>
    <x v="4"/>
  </r>
  <r>
    <n v="1755"/>
    <x v="754"/>
    <x v="754"/>
    <d v="2023-08-17T21:41:53"/>
    <s v="Customer_65"/>
    <x v="3"/>
    <s v="Healthy"/>
    <x v="2"/>
    <n v="3"/>
    <n v="875"/>
    <x v="636"/>
    <n v="21"/>
    <x v="5"/>
  </r>
  <r>
    <n v="1756"/>
    <x v="755"/>
    <x v="755"/>
    <d v="2023-08-18T04:59:03"/>
    <s v="Customer_252"/>
    <x v="3"/>
    <s v="Healthy"/>
    <x v="4"/>
    <n v="3"/>
    <n v="782"/>
    <x v="637"/>
    <n v="4"/>
    <x v="6"/>
  </r>
  <r>
    <n v="1757"/>
    <x v="756"/>
    <x v="756"/>
    <d v="2023-08-18T12:16:13"/>
    <s v="Customer_53"/>
    <x v="1"/>
    <s v="Asian"/>
    <x v="4"/>
    <n v="5"/>
    <n v="612"/>
    <x v="638"/>
    <n v="12"/>
    <x v="0"/>
  </r>
  <r>
    <n v="1758"/>
    <x v="757"/>
    <x v="757"/>
    <d v="2023-08-18T19:33:23"/>
    <s v="Customer_7"/>
    <x v="0"/>
    <s v="Fast Food"/>
    <x v="1"/>
    <n v="2"/>
    <n v="412"/>
    <x v="639"/>
    <n v="19"/>
    <x v="1"/>
  </r>
  <r>
    <n v="1759"/>
    <x v="758"/>
    <x v="758"/>
    <d v="2023-08-19T02:50:33"/>
    <s v="Customer_294"/>
    <x v="1"/>
    <s v="Main Course"/>
    <x v="0"/>
    <n v="5"/>
    <n v="675"/>
    <x v="1"/>
    <n v="2"/>
    <x v="2"/>
  </r>
  <r>
    <n v="1760"/>
    <x v="759"/>
    <x v="759"/>
    <d v="2023-08-19T10:07:42"/>
    <s v="Customer_146"/>
    <x v="1"/>
    <s v="Continental"/>
    <x v="2"/>
    <n v="2"/>
    <n v="985"/>
    <x v="640"/>
    <n v="10"/>
    <x v="3"/>
  </r>
  <r>
    <n v="1761"/>
    <x v="760"/>
    <x v="760"/>
    <d v="2023-08-19T17:24:52"/>
    <s v="Customer_241"/>
    <x v="0"/>
    <s v="Continental"/>
    <x v="9"/>
    <n v="3"/>
    <n v="383"/>
    <x v="641"/>
    <n v="17"/>
    <x v="4"/>
  </r>
  <r>
    <n v="1762"/>
    <x v="761"/>
    <x v="761"/>
    <d v="2023-08-20T00:42:02"/>
    <s v="Customer_246"/>
    <x v="1"/>
    <s v="Continental"/>
    <x v="2"/>
    <n v="3"/>
    <n v="220"/>
    <x v="642"/>
    <n v="0"/>
    <x v="5"/>
  </r>
  <r>
    <n v="1763"/>
    <x v="762"/>
    <x v="762"/>
    <d v="2023-08-20T07:59:12"/>
    <s v="Customer_226"/>
    <x v="1"/>
    <s v="Fast Food"/>
    <x v="3"/>
    <n v="5"/>
    <n v="206"/>
    <x v="222"/>
    <n v="7"/>
    <x v="6"/>
  </r>
  <r>
    <n v="1764"/>
    <x v="763"/>
    <x v="763"/>
    <d v="2023-08-20T15:16:22"/>
    <s v="Customer_175"/>
    <x v="0"/>
    <s v="Healthy"/>
    <x v="3"/>
    <n v="5"/>
    <n v="786"/>
    <x v="643"/>
    <n v="15"/>
    <x v="0"/>
  </r>
  <r>
    <n v="1765"/>
    <x v="764"/>
    <x v="764"/>
    <d v="2023-08-20T22:33:32"/>
    <s v="Customer_95"/>
    <x v="0"/>
    <s v="Asian"/>
    <x v="3"/>
    <n v="2"/>
    <n v="303"/>
    <x v="500"/>
    <n v="22"/>
    <x v="1"/>
  </r>
  <r>
    <n v="1766"/>
    <x v="765"/>
    <x v="765"/>
    <d v="2023-08-21T05:50:42"/>
    <s v="Customer_27"/>
    <x v="2"/>
    <s v="Asian"/>
    <x v="2"/>
    <n v="4"/>
    <n v="264"/>
    <x v="644"/>
    <n v="5"/>
    <x v="2"/>
  </r>
  <r>
    <n v="1767"/>
    <x v="766"/>
    <x v="766"/>
    <d v="2023-08-21T13:07:51"/>
    <s v="Customer_130"/>
    <x v="3"/>
    <s v="Continental"/>
    <x v="0"/>
    <n v="2"/>
    <n v="404"/>
    <x v="645"/>
    <n v="13"/>
    <x v="3"/>
  </r>
  <r>
    <n v="1768"/>
    <x v="767"/>
    <x v="767"/>
    <d v="2023-08-21T20:25:01"/>
    <s v="Customer_245"/>
    <x v="2"/>
    <s v="Asian"/>
    <x v="3"/>
    <n v="5"/>
    <n v="596"/>
    <x v="646"/>
    <n v="20"/>
    <x v="4"/>
  </r>
  <r>
    <n v="1769"/>
    <x v="768"/>
    <x v="768"/>
    <d v="2023-08-22T03:42:11"/>
    <s v="Customer_59"/>
    <x v="0"/>
    <s v="Main Course"/>
    <x v="5"/>
    <n v="5"/>
    <n v="731"/>
    <x v="647"/>
    <n v="3"/>
    <x v="5"/>
  </r>
  <r>
    <n v="1770"/>
    <x v="769"/>
    <x v="769"/>
    <d v="2023-08-22T10:59:21"/>
    <s v="Customer_34"/>
    <x v="1"/>
    <s v="Main Course"/>
    <x v="7"/>
    <n v="1"/>
    <n v="655"/>
    <x v="648"/>
    <n v="10"/>
    <x v="6"/>
  </r>
  <r>
    <n v="1771"/>
    <x v="770"/>
    <x v="770"/>
    <d v="2023-08-22T18:16:31"/>
    <s v="Customer_206"/>
    <x v="0"/>
    <s v="Healthy"/>
    <x v="9"/>
    <n v="5"/>
    <n v="923"/>
    <x v="649"/>
    <n v="18"/>
    <x v="0"/>
  </r>
  <r>
    <n v="1772"/>
    <x v="771"/>
    <x v="771"/>
    <d v="2023-08-23T01:33:41"/>
    <s v="Customer_252"/>
    <x v="1"/>
    <s v="Asian"/>
    <x v="6"/>
    <n v="1"/>
    <n v="255"/>
    <x v="650"/>
    <n v="1"/>
    <x v="1"/>
  </r>
  <r>
    <n v="1773"/>
    <x v="772"/>
    <x v="772"/>
    <d v="2023-08-23T08:50:51"/>
    <s v="Customer_38"/>
    <x v="2"/>
    <s v="Fast Food"/>
    <x v="7"/>
    <n v="4"/>
    <n v="466"/>
    <x v="651"/>
    <n v="8"/>
    <x v="2"/>
  </r>
  <r>
    <n v="1774"/>
    <x v="773"/>
    <x v="773"/>
    <d v="2023-08-23T16:08:00"/>
    <s v="Customer_296"/>
    <x v="2"/>
    <s v="Asian"/>
    <x v="0"/>
    <n v="2"/>
    <n v="818"/>
    <x v="217"/>
    <n v="16"/>
    <x v="3"/>
  </r>
  <r>
    <n v="1775"/>
    <x v="774"/>
    <x v="774"/>
    <d v="2023-08-23T23:25:10"/>
    <s v="Customer_28"/>
    <x v="2"/>
    <s v="Fast Food"/>
    <x v="9"/>
    <n v="2"/>
    <n v="719"/>
    <x v="652"/>
    <n v="23"/>
    <x v="4"/>
  </r>
  <r>
    <n v="1776"/>
    <x v="775"/>
    <x v="775"/>
    <d v="2023-08-24T06:42:20"/>
    <s v="Customer_78"/>
    <x v="1"/>
    <s v="Continental"/>
    <x v="5"/>
    <n v="1"/>
    <n v="350"/>
    <x v="276"/>
    <n v="6"/>
    <x v="5"/>
  </r>
  <r>
    <n v="1777"/>
    <x v="776"/>
    <x v="776"/>
    <d v="2023-08-24T13:59:30"/>
    <s v="Customer_77"/>
    <x v="3"/>
    <s v="Fast Food"/>
    <x v="4"/>
    <n v="2"/>
    <n v="981"/>
    <x v="653"/>
    <n v="13"/>
    <x v="6"/>
  </r>
  <r>
    <n v="1778"/>
    <x v="777"/>
    <x v="777"/>
    <d v="2023-08-24T21:16:40"/>
    <s v="Customer_289"/>
    <x v="3"/>
    <s v="Continental"/>
    <x v="0"/>
    <n v="5"/>
    <n v="433"/>
    <x v="654"/>
    <n v="21"/>
    <x v="0"/>
  </r>
  <r>
    <n v="1779"/>
    <x v="778"/>
    <x v="778"/>
    <d v="2023-08-25T04:33:50"/>
    <s v="Customer_156"/>
    <x v="3"/>
    <s v="Main Course"/>
    <x v="7"/>
    <n v="3"/>
    <n v="741"/>
    <x v="655"/>
    <n v="4"/>
    <x v="1"/>
  </r>
  <r>
    <n v="1780"/>
    <x v="779"/>
    <x v="779"/>
    <d v="2023-08-25T11:51:00"/>
    <s v="Customer_44"/>
    <x v="0"/>
    <s v="Asian"/>
    <x v="7"/>
    <n v="1"/>
    <n v="610"/>
    <x v="656"/>
    <n v="11"/>
    <x v="2"/>
  </r>
  <r>
    <n v="1781"/>
    <x v="780"/>
    <x v="780"/>
    <d v="2023-08-25T19:08:09"/>
    <s v="Customer_128"/>
    <x v="0"/>
    <s v="Healthy"/>
    <x v="8"/>
    <n v="2"/>
    <n v="392"/>
    <x v="188"/>
    <n v="19"/>
    <x v="3"/>
  </r>
  <r>
    <n v="1782"/>
    <x v="781"/>
    <x v="781"/>
    <d v="2023-08-26T02:25:19"/>
    <s v="Customer_61"/>
    <x v="1"/>
    <s v="Asian"/>
    <x v="5"/>
    <n v="1"/>
    <n v="119"/>
    <x v="239"/>
    <n v="2"/>
    <x v="4"/>
  </r>
  <r>
    <n v="1783"/>
    <x v="782"/>
    <x v="782"/>
    <d v="2023-08-26T09:42:29"/>
    <s v="Customer_286"/>
    <x v="0"/>
    <s v="Continental"/>
    <x v="8"/>
    <n v="1"/>
    <n v="381"/>
    <x v="621"/>
    <n v="9"/>
    <x v="5"/>
  </r>
  <r>
    <n v="1784"/>
    <x v="783"/>
    <x v="783"/>
    <d v="2023-08-26T16:59:39"/>
    <s v="Customer_214"/>
    <x v="1"/>
    <s v="Asian"/>
    <x v="6"/>
    <n v="3"/>
    <n v="896"/>
    <x v="657"/>
    <n v="16"/>
    <x v="6"/>
  </r>
  <r>
    <n v="1785"/>
    <x v="784"/>
    <x v="784"/>
    <d v="2023-08-27T00:16:49"/>
    <s v="Customer_116"/>
    <x v="2"/>
    <s v="Healthy"/>
    <x v="6"/>
    <n v="5"/>
    <n v="100"/>
    <x v="366"/>
    <n v="0"/>
    <x v="0"/>
  </r>
  <r>
    <n v="1786"/>
    <x v="785"/>
    <x v="785"/>
    <d v="2023-08-27T07:33:59"/>
    <s v="Customer_268"/>
    <x v="1"/>
    <s v="Continental"/>
    <x v="1"/>
    <n v="1"/>
    <n v="218"/>
    <x v="658"/>
    <n v="7"/>
    <x v="1"/>
  </r>
  <r>
    <n v="1787"/>
    <x v="786"/>
    <x v="786"/>
    <d v="2023-08-27T14:51:09"/>
    <s v="Customer_195"/>
    <x v="0"/>
    <s v="Continental"/>
    <x v="6"/>
    <n v="2"/>
    <n v="134"/>
    <x v="659"/>
    <n v="14"/>
    <x v="2"/>
  </r>
  <r>
    <n v="1788"/>
    <x v="787"/>
    <x v="787"/>
    <d v="2023-08-27T22:08:18"/>
    <s v="Customer_231"/>
    <x v="2"/>
    <s v="Healthy"/>
    <x v="4"/>
    <n v="4"/>
    <n v="297"/>
    <x v="660"/>
    <n v="22"/>
    <x v="3"/>
  </r>
  <r>
    <n v="1789"/>
    <x v="788"/>
    <x v="788"/>
    <d v="2023-08-28T05:25:28"/>
    <s v="Customer_227"/>
    <x v="2"/>
    <s v="Asian"/>
    <x v="8"/>
    <n v="1"/>
    <n v="584"/>
    <x v="234"/>
    <n v="5"/>
    <x v="4"/>
  </r>
  <r>
    <n v="1790"/>
    <x v="789"/>
    <x v="789"/>
    <d v="2023-08-28T12:42:38"/>
    <s v="Customer_153"/>
    <x v="1"/>
    <s v="Healthy"/>
    <x v="5"/>
    <n v="1"/>
    <n v="856"/>
    <x v="661"/>
    <n v="12"/>
    <x v="5"/>
  </r>
  <r>
    <n v="1791"/>
    <x v="790"/>
    <x v="790"/>
    <d v="2023-08-28T19:59:48"/>
    <s v="Customer_220"/>
    <x v="3"/>
    <s v="Fast Food"/>
    <x v="0"/>
    <n v="3"/>
    <n v="158"/>
    <x v="608"/>
    <n v="19"/>
    <x v="6"/>
  </r>
  <r>
    <n v="1792"/>
    <x v="791"/>
    <x v="791"/>
    <d v="2023-08-29T03:16:58"/>
    <s v="Customer_157"/>
    <x v="0"/>
    <s v="Main Course"/>
    <x v="5"/>
    <n v="5"/>
    <n v="936"/>
    <x v="610"/>
    <n v="3"/>
    <x v="0"/>
  </r>
  <r>
    <n v="1793"/>
    <x v="792"/>
    <x v="792"/>
    <d v="2023-08-29T10:34:08"/>
    <s v="Customer_292"/>
    <x v="0"/>
    <s v="Healthy"/>
    <x v="5"/>
    <n v="4"/>
    <n v="260"/>
    <x v="662"/>
    <n v="10"/>
    <x v="1"/>
  </r>
  <r>
    <n v="1794"/>
    <x v="793"/>
    <x v="793"/>
    <d v="2023-08-29T17:51:18"/>
    <s v="Customer_31"/>
    <x v="3"/>
    <s v="Continental"/>
    <x v="3"/>
    <n v="2"/>
    <n v="790"/>
    <x v="14"/>
    <n v="17"/>
    <x v="2"/>
  </r>
  <r>
    <n v="1795"/>
    <x v="794"/>
    <x v="794"/>
    <d v="2023-08-30T01:08:27"/>
    <s v="Customer_51"/>
    <x v="0"/>
    <s v="Fast Food"/>
    <x v="9"/>
    <n v="4"/>
    <n v="305"/>
    <x v="663"/>
    <n v="1"/>
    <x v="3"/>
  </r>
  <r>
    <n v="1796"/>
    <x v="795"/>
    <x v="795"/>
    <d v="2023-08-30T08:25:37"/>
    <s v="Customer_107"/>
    <x v="3"/>
    <s v="Main Course"/>
    <x v="2"/>
    <n v="2"/>
    <n v="111"/>
    <x v="664"/>
    <n v="8"/>
    <x v="4"/>
  </r>
  <r>
    <n v="1797"/>
    <x v="796"/>
    <x v="796"/>
    <d v="2023-08-30T15:42:47"/>
    <s v="Customer_109"/>
    <x v="3"/>
    <s v="Healthy"/>
    <x v="1"/>
    <n v="5"/>
    <n v="589"/>
    <x v="665"/>
    <n v="15"/>
    <x v="5"/>
  </r>
  <r>
    <n v="1798"/>
    <x v="797"/>
    <x v="797"/>
    <d v="2023-08-30T22:59:57"/>
    <s v="Customer_136"/>
    <x v="2"/>
    <s v="Main Course"/>
    <x v="4"/>
    <n v="2"/>
    <n v="375"/>
    <x v="666"/>
    <n v="22"/>
    <x v="6"/>
  </r>
  <r>
    <n v="1799"/>
    <x v="798"/>
    <x v="798"/>
    <d v="2023-08-31T06:17:07"/>
    <s v="Customer_42"/>
    <x v="2"/>
    <s v="Asian"/>
    <x v="6"/>
    <n v="3"/>
    <n v="792"/>
    <x v="7"/>
    <n v="6"/>
    <x v="0"/>
  </r>
  <r>
    <n v="1800"/>
    <x v="799"/>
    <x v="799"/>
    <d v="2023-08-31T13:34:17"/>
    <s v="Customer_81"/>
    <x v="1"/>
    <s v="Continental"/>
    <x v="0"/>
    <n v="3"/>
    <n v="341"/>
    <x v="362"/>
    <n v="13"/>
    <x v="1"/>
  </r>
  <r>
    <n v="1801"/>
    <x v="800"/>
    <x v="800"/>
    <d v="2023-08-31T20:51:27"/>
    <s v="Customer_123"/>
    <x v="2"/>
    <s v="Healthy"/>
    <x v="9"/>
    <n v="3"/>
    <n v="315"/>
    <x v="667"/>
    <n v="20"/>
    <x v="2"/>
  </r>
  <r>
    <n v="1802"/>
    <x v="801"/>
    <x v="801"/>
    <d v="2023-09-01T04:08:36"/>
    <s v="Customer_89"/>
    <x v="3"/>
    <s v="Continental"/>
    <x v="3"/>
    <n v="3"/>
    <n v="350"/>
    <x v="325"/>
    <n v="4"/>
    <x v="3"/>
  </r>
  <r>
    <n v="1803"/>
    <x v="802"/>
    <x v="802"/>
    <d v="2023-09-01T11:25:46"/>
    <s v="Customer_283"/>
    <x v="1"/>
    <s v="Fast Food"/>
    <x v="5"/>
    <n v="4"/>
    <n v="910"/>
    <x v="113"/>
    <n v="11"/>
    <x v="4"/>
  </r>
  <r>
    <n v="1804"/>
    <x v="803"/>
    <x v="803"/>
    <d v="2023-09-01T18:42:56"/>
    <s v="Customer_39"/>
    <x v="0"/>
    <s v="Fast Food"/>
    <x v="5"/>
    <n v="5"/>
    <n v="225"/>
    <x v="635"/>
    <n v="18"/>
    <x v="5"/>
  </r>
  <r>
    <n v="1805"/>
    <x v="804"/>
    <x v="804"/>
    <d v="2023-09-02T02:00:06"/>
    <s v="Customer_81"/>
    <x v="3"/>
    <s v="Main Course"/>
    <x v="7"/>
    <n v="2"/>
    <n v="316"/>
    <x v="668"/>
    <n v="2"/>
    <x v="6"/>
  </r>
  <r>
    <n v="1806"/>
    <x v="805"/>
    <x v="805"/>
    <d v="2023-09-02T09:17:16"/>
    <s v="Customer_2"/>
    <x v="1"/>
    <s v="Fast Food"/>
    <x v="1"/>
    <n v="2"/>
    <n v="405"/>
    <x v="209"/>
    <n v="9"/>
    <x v="0"/>
  </r>
  <r>
    <n v="1807"/>
    <x v="806"/>
    <x v="806"/>
    <d v="2023-09-02T16:34:26"/>
    <s v="Customer_210"/>
    <x v="2"/>
    <s v="Fast Food"/>
    <x v="2"/>
    <n v="3"/>
    <n v="896"/>
    <x v="657"/>
    <n v="16"/>
    <x v="1"/>
  </r>
  <r>
    <n v="1808"/>
    <x v="807"/>
    <x v="807"/>
    <d v="2023-09-02T23:51:36"/>
    <s v="Customer_231"/>
    <x v="3"/>
    <s v="Healthy"/>
    <x v="5"/>
    <n v="3"/>
    <n v="284"/>
    <x v="669"/>
    <n v="23"/>
    <x v="2"/>
  </r>
  <r>
    <n v="1809"/>
    <x v="808"/>
    <x v="808"/>
    <d v="2023-09-03T07:08:45"/>
    <s v="Customer_241"/>
    <x v="1"/>
    <s v="Continental"/>
    <x v="8"/>
    <n v="1"/>
    <n v="138"/>
    <x v="670"/>
    <n v="7"/>
    <x v="3"/>
  </r>
  <r>
    <n v="1810"/>
    <x v="809"/>
    <x v="809"/>
    <d v="2023-09-03T14:25:55"/>
    <s v="Customer_150"/>
    <x v="0"/>
    <s v="Main Course"/>
    <x v="4"/>
    <n v="5"/>
    <n v="322"/>
    <x v="123"/>
    <n v="14"/>
    <x v="4"/>
  </r>
  <r>
    <n v="1811"/>
    <x v="810"/>
    <x v="810"/>
    <d v="2023-09-03T21:43:05"/>
    <s v="Customer_17"/>
    <x v="3"/>
    <s v="Fast Food"/>
    <x v="6"/>
    <n v="4"/>
    <n v="283"/>
    <x v="671"/>
    <n v="21"/>
    <x v="5"/>
  </r>
  <r>
    <n v="1812"/>
    <x v="811"/>
    <x v="811"/>
    <d v="2023-09-04T05:00:15"/>
    <s v="Customer_119"/>
    <x v="3"/>
    <s v="Continental"/>
    <x v="9"/>
    <n v="2"/>
    <n v="594"/>
    <x v="660"/>
    <n v="5"/>
    <x v="6"/>
  </r>
  <r>
    <n v="1813"/>
    <x v="812"/>
    <x v="812"/>
    <d v="2023-09-04T12:17:25"/>
    <s v="Customer_148"/>
    <x v="1"/>
    <s v="Asian"/>
    <x v="5"/>
    <n v="1"/>
    <n v="526"/>
    <x v="672"/>
    <n v="12"/>
    <x v="0"/>
  </r>
  <r>
    <n v="1814"/>
    <x v="813"/>
    <x v="813"/>
    <d v="2023-09-04T19:34:35"/>
    <s v="Customer_145"/>
    <x v="1"/>
    <s v="Healthy"/>
    <x v="9"/>
    <n v="1"/>
    <n v="277"/>
    <x v="673"/>
    <n v="19"/>
    <x v="1"/>
  </r>
  <r>
    <n v="1815"/>
    <x v="814"/>
    <x v="814"/>
    <d v="2023-09-05T02:51:45"/>
    <s v="Customer_233"/>
    <x v="2"/>
    <s v="Fast Food"/>
    <x v="3"/>
    <n v="2"/>
    <n v="527"/>
    <x v="674"/>
    <n v="2"/>
    <x v="2"/>
  </r>
  <r>
    <n v="1816"/>
    <x v="815"/>
    <x v="815"/>
    <d v="2023-09-05T10:08:54"/>
    <s v="Customer_37"/>
    <x v="2"/>
    <s v="Fast Food"/>
    <x v="9"/>
    <n v="4"/>
    <n v="393"/>
    <x v="375"/>
    <n v="10"/>
    <x v="3"/>
  </r>
  <r>
    <n v="1817"/>
    <x v="816"/>
    <x v="816"/>
    <d v="2023-09-05T17:26:04"/>
    <s v="Customer_120"/>
    <x v="3"/>
    <s v="Fast Food"/>
    <x v="9"/>
    <n v="1"/>
    <n v="951"/>
    <x v="675"/>
    <n v="17"/>
    <x v="4"/>
  </r>
  <r>
    <n v="1818"/>
    <x v="817"/>
    <x v="817"/>
    <d v="2023-09-06T00:43:14"/>
    <s v="Customer_136"/>
    <x v="0"/>
    <s v="Continental"/>
    <x v="6"/>
    <n v="1"/>
    <n v="250"/>
    <x v="676"/>
    <n v="0"/>
    <x v="5"/>
  </r>
  <r>
    <n v="1819"/>
    <x v="818"/>
    <x v="818"/>
    <d v="2023-09-06T08:00:24"/>
    <s v="Customer_102"/>
    <x v="2"/>
    <s v="Healthy"/>
    <x v="6"/>
    <n v="5"/>
    <n v="483"/>
    <x v="677"/>
    <n v="8"/>
    <x v="6"/>
  </r>
  <r>
    <n v="1820"/>
    <x v="819"/>
    <x v="819"/>
    <d v="2023-09-06T15:17:34"/>
    <s v="Customer_218"/>
    <x v="0"/>
    <s v="Healthy"/>
    <x v="9"/>
    <n v="4"/>
    <n v="737"/>
    <x v="678"/>
    <n v="15"/>
    <x v="0"/>
  </r>
  <r>
    <n v="1821"/>
    <x v="820"/>
    <x v="820"/>
    <d v="2023-09-06T22:34:44"/>
    <s v="Customer_59"/>
    <x v="1"/>
    <s v="Continental"/>
    <x v="3"/>
    <n v="1"/>
    <n v="912"/>
    <x v="679"/>
    <n v="22"/>
    <x v="1"/>
  </r>
  <r>
    <n v="1822"/>
    <x v="821"/>
    <x v="821"/>
    <d v="2023-09-07T05:51:54"/>
    <s v="Customer_279"/>
    <x v="1"/>
    <s v="Main Course"/>
    <x v="2"/>
    <n v="4"/>
    <n v="407"/>
    <x v="680"/>
    <n v="5"/>
    <x v="2"/>
  </r>
  <r>
    <n v="1823"/>
    <x v="822"/>
    <x v="822"/>
    <d v="2023-09-07T13:09:03"/>
    <s v="Customer_116"/>
    <x v="2"/>
    <s v="Healthy"/>
    <x v="8"/>
    <n v="2"/>
    <n v="435"/>
    <x v="314"/>
    <n v="13"/>
    <x v="3"/>
  </r>
  <r>
    <n v="1824"/>
    <x v="823"/>
    <x v="823"/>
    <d v="2023-09-07T20:26:13"/>
    <s v="Customer_77"/>
    <x v="3"/>
    <s v="Continental"/>
    <x v="4"/>
    <n v="3"/>
    <n v="845"/>
    <x v="681"/>
    <n v="20"/>
    <x v="4"/>
  </r>
  <r>
    <n v="1825"/>
    <x v="824"/>
    <x v="824"/>
    <d v="2023-09-08T03:43:23"/>
    <s v="Customer_137"/>
    <x v="1"/>
    <s v="Continental"/>
    <x v="3"/>
    <n v="1"/>
    <n v="991"/>
    <x v="682"/>
    <n v="3"/>
    <x v="5"/>
  </r>
  <r>
    <n v="1826"/>
    <x v="825"/>
    <x v="825"/>
    <d v="2023-09-08T11:00:33"/>
    <s v="Customer_73"/>
    <x v="0"/>
    <s v="Fast Food"/>
    <x v="4"/>
    <n v="5"/>
    <n v="474"/>
    <x v="683"/>
    <n v="11"/>
    <x v="6"/>
  </r>
  <r>
    <n v="1827"/>
    <x v="826"/>
    <x v="826"/>
    <d v="2023-09-08T18:17:43"/>
    <s v="Customer_37"/>
    <x v="3"/>
    <s v="Continental"/>
    <x v="7"/>
    <n v="2"/>
    <n v="107"/>
    <x v="684"/>
    <n v="18"/>
    <x v="0"/>
  </r>
  <r>
    <n v="1828"/>
    <x v="827"/>
    <x v="827"/>
    <d v="2023-09-09T01:34:53"/>
    <s v="Customer_31"/>
    <x v="2"/>
    <s v="Fast Food"/>
    <x v="0"/>
    <n v="4"/>
    <n v="440"/>
    <x v="308"/>
    <n v="1"/>
    <x v="1"/>
  </r>
  <r>
    <n v="1829"/>
    <x v="828"/>
    <x v="828"/>
    <d v="2023-09-09T08:52:03"/>
    <s v="Customer_85"/>
    <x v="1"/>
    <s v="Asian"/>
    <x v="2"/>
    <n v="2"/>
    <n v="228"/>
    <x v="685"/>
    <n v="8"/>
    <x v="2"/>
  </r>
  <r>
    <n v="1830"/>
    <x v="829"/>
    <x v="829"/>
    <d v="2023-09-09T16:09:12"/>
    <s v="Customer_158"/>
    <x v="2"/>
    <s v="Continental"/>
    <x v="4"/>
    <n v="1"/>
    <n v="875"/>
    <x v="84"/>
    <n v="16"/>
    <x v="3"/>
  </r>
  <r>
    <n v="1831"/>
    <x v="830"/>
    <x v="830"/>
    <d v="2023-09-09T23:26:22"/>
    <s v="Customer_292"/>
    <x v="3"/>
    <s v="Healthy"/>
    <x v="8"/>
    <n v="4"/>
    <n v="768"/>
    <x v="686"/>
    <n v="23"/>
    <x v="4"/>
  </r>
  <r>
    <n v="1832"/>
    <x v="831"/>
    <x v="831"/>
    <d v="2023-09-10T06:43:32"/>
    <s v="Customer_148"/>
    <x v="3"/>
    <s v="Fast Food"/>
    <x v="4"/>
    <n v="3"/>
    <n v="451"/>
    <x v="687"/>
    <n v="6"/>
    <x v="5"/>
  </r>
  <r>
    <n v="1833"/>
    <x v="832"/>
    <x v="832"/>
    <d v="2023-09-10T14:00:42"/>
    <s v="Customer_225"/>
    <x v="3"/>
    <s v="Asian"/>
    <x v="5"/>
    <n v="2"/>
    <n v="457"/>
    <x v="688"/>
    <n v="14"/>
    <x v="6"/>
  </r>
  <r>
    <n v="1834"/>
    <x v="833"/>
    <x v="833"/>
    <d v="2023-09-10T21:17:52"/>
    <s v="Customer_64"/>
    <x v="0"/>
    <s v="Main Course"/>
    <x v="2"/>
    <n v="1"/>
    <n v="616"/>
    <x v="689"/>
    <n v="21"/>
    <x v="0"/>
  </r>
  <r>
    <n v="1835"/>
    <x v="834"/>
    <x v="834"/>
    <d v="2023-09-11T04:35:02"/>
    <s v="Customer_240"/>
    <x v="3"/>
    <s v="Main Course"/>
    <x v="1"/>
    <n v="5"/>
    <n v="594"/>
    <x v="690"/>
    <n v="4"/>
    <x v="1"/>
  </r>
  <r>
    <n v="1836"/>
    <x v="835"/>
    <x v="835"/>
    <d v="2023-09-11T11:52:12"/>
    <s v="Customer_156"/>
    <x v="3"/>
    <s v="Main Course"/>
    <x v="3"/>
    <n v="4"/>
    <n v="185"/>
    <x v="691"/>
    <n v="11"/>
    <x v="2"/>
  </r>
  <r>
    <n v="1837"/>
    <x v="836"/>
    <x v="836"/>
    <d v="2023-09-11T19:09:21"/>
    <s v="Customer_207"/>
    <x v="1"/>
    <s v="Fast Food"/>
    <x v="3"/>
    <n v="2"/>
    <n v="274"/>
    <x v="692"/>
    <n v="19"/>
    <x v="3"/>
  </r>
  <r>
    <n v="1838"/>
    <x v="837"/>
    <x v="837"/>
    <d v="2023-09-12T02:26:31"/>
    <s v="Customer_140"/>
    <x v="0"/>
    <s v="Continental"/>
    <x v="8"/>
    <n v="2"/>
    <n v="901"/>
    <x v="693"/>
    <n v="2"/>
    <x v="4"/>
  </r>
  <r>
    <n v="1839"/>
    <x v="838"/>
    <x v="838"/>
    <d v="2023-09-12T09:43:41"/>
    <s v="Customer_257"/>
    <x v="0"/>
    <s v="Fast Food"/>
    <x v="8"/>
    <n v="3"/>
    <n v="292"/>
    <x v="694"/>
    <n v="9"/>
    <x v="5"/>
  </r>
  <r>
    <n v="1840"/>
    <x v="839"/>
    <x v="839"/>
    <d v="2023-09-12T17:00:51"/>
    <s v="Customer_277"/>
    <x v="2"/>
    <s v="Main Course"/>
    <x v="2"/>
    <n v="3"/>
    <n v="410"/>
    <x v="155"/>
    <n v="17"/>
    <x v="6"/>
  </r>
  <r>
    <n v="1841"/>
    <x v="840"/>
    <x v="840"/>
    <d v="2023-09-13T00:18:01"/>
    <s v="Customer_253"/>
    <x v="3"/>
    <s v="Continental"/>
    <x v="7"/>
    <n v="5"/>
    <n v="218"/>
    <x v="695"/>
    <n v="0"/>
    <x v="0"/>
  </r>
  <r>
    <n v="1842"/>
    <x v="841"/>
    <x v="841"/>
    <d v="2023-09-13T07:35:11"/>
    <s v="Customer_225"/>
    <x v="1"/>
    <s v="Asian"/>
    <x v="5"/>
    <n v="5"/>
    <n v="317"/>
    <x v="696"/>
    <n v="7"/>
    <x v="1"/>
  </r>
  <r>
    <n v="1843"/>
    <x v="842"/>
    <x v="842"/>
    <d v="2023-09-13T14:52:21"/>
    <s v="Customer_42"/>
    <x v="2"/>
    <s v="Main Course"/>
    <x v="0"/>
    <n v="1"/>
    <n v="526"/>
    <x v="672"/>
    <n v="14"/>
    <x v="2"/>
  </r>
  <r>
    <n v="1844"/>
    <x v="843"/>
    <x v="843"/>
    <d v="2023-09-13T22:09:30"/>
    <s v="Customer_21"/>
    <x v="3"/>
    <s v="Healthy"/>
    <x v="0"/>
    <n v="1"/>
    <n v="513"/>
    <x v="349"/>
    <n v="22"/>
    <x v="3"/>
  </r>
  <r>
    <n v="1845"/>
    <x v="844"/>
    <x v="844"/>
    <d v="2023-09-14T05:26:40"/>
    <s v="Customer_222"/>
    <x v="0"/>
    <s v="Continental"/>
    <x v="6"/>
    <n v="5"/>
    <n v="213"/>
    <x v="285"/>
    <n v="5"/>
    <x v="4"/>
  </r>
  <r>
    <n v="1846"/>
    <x v="845"/>
    <x v="845"/>
    <d v="2023-09-14T12:43:50"/>
    <s v="Customer_166"/>
    <x v="3"/>
    <s v="Fast Food"/>
    <x v="5"/>
    <n v="5"/>
    <n v="244"/>
    <x v="663"/>
    <n v="12"/>
    <x v="5"/>
  </r>
  <r>
    <n v="1847"/>
    <x v="846"/>
    <x v="846"/>
    <d v="2023-09-14T20:01:00"/>
    <s v="Customer_129"/>
    <x v="3"/>
    <s v="Fast Food"/>
    <x v="6"/>
    <n v="4"/>
    <n v="637"/>
    <x v="100"/>
    <n v="20"/>
    <x v="6"/>
  </r>
  <r>
    <n v="1848"/>
    <x v="847"/>
    <x v="847"/>
    <d v="2023-09-15T03:18:10"/>
    <s v="Customer_14"/>
    <x v="1"/>
    <s v="Healthy"/>
    <x v="9"/>
    <n v="3"/>
    <n v="747"/>
    <x v="697"/>
    <n v="3"/>
    <x v="0"/>
  </r>
  <r>
    <n v="1849"/>
    <x v="848"/>
    <x v="848"/>
    <d v="2023-09-15T10:35:20"/>
    <s v="Customer_47"/>
    <x v="1"/>
    <s v="Fast Food"/>
    <x v="1"/>
    <n v="1"/>
    <n v="402"/>
    <x v="475"/>
    <n v="10"/>
    <x v="1"/>
  </r>
  <r>
    <n v="1850"/>
    <x v="849"/>
    <x v="849"/>
    <d v="2023-09-15T17:52:30"/>
    <s v="Customer_118"/>
    <x v="1"/>
    <s v="Healthy"/>
    <x v="1"/>
    <n v="3"/>
    <n v="843"/>
    <x v="698"/>
    <n v="17"/>
    <x v="2"/>
  </r>
  <r>
    <n v="1851"/>
    <x v="850"/>
    <x v="850"/>
    <d v="2023-09-16T01:09:39"/>
    <s v="Customer_295"/>
    <x v="2"/>
    <s v="Main Course"/>
    <x v="2"/>
    <n v="3"/>
    <n v="980"/>
    <x v="699"/>
    <n v="1"/>
    <x v="3"/>
  </r>
  <r>
    <n v="1852"/>
    <x v="851"/>
    <x v="851"/>
    <d v="2023-09-16T08:26:49"/>
    <s v="Customer_11"/>
    <x v="1"/>
    <s v="Main Course"/>
    <x v="6"/>
    <n v="5"/>
    <n v="687"/>
    <x v="700"/>
    <n v="8"/>
    <x v="4"/>
  </r>
  <r>
    <n v="1853"/>
    <x v="852"/>
    <x v="852"/>
    <d v="2023-09-16T15:43:59"/>
    <s v="Customer_138"/>
    <x v="2"/>
    <s v="Fast Food"/>
    <x v="7"/>
    <n v="4"/>
    <n v="939"/>
    <x v="701"/>
    <n v="15"/>
    <x v="5"/>
  </r>
  <r>
    <n v="1854"/>
    <x v="853"/>
    <x v="853"/>
    <d v="2023-09-16T23:01:09"/>
    <s v="Customer_296"/>
    <x v="3"/>
    <s v="Continental"/>
    <x v="5"/>
    <n v="2"/>
    <n v="444"/>
    <x v="702"/>
    <n v="23"/>
    <x v="6"/>
  </r>
  <r>
    <n v="1855"/>
    <x v="854"/>
    <x v="854"/>
    <d v="2023-09-17T06:18:19"/>
    <s v="Customer_21"/>
    <x v="2"/>
    <s v="Fast Food"/>
    <x v="0"/>
    <n v="4"/>
    <n v="913"/>
    <x v="703"/>
    <n v="6"/>
    <x v="0"/>
  </r>
  <r>
    <n v="1856"/>
    <x v="855"/>
    <x v="855"/>
    <d v="2023-09-17T13:35:29"/>
    <s v="Customer_90"/>
    <x v="2"/>
    <s v="Main Course"/>
    <x v="1"/>
    <n v="4"/>
    <n v="900"/>
    <x v="704"/>
    <n v="13"/>
    <x v="1"/>
  </r>
  <r>
    <n v="1857"/>
    <x v="856"/>
    <x v="856"/>
    <d v="2023-09-17T20:52:39"/>
    <s v="Customer_241"/>
    <x v="1"/>
    <s v="Continental"/>
    <x v="4"/>
    <n v="3"/>
    <n v="100"/>
    <x v="45"/>
    <n v="20"/>
    <x v="2"/>
  </r>
  <r>
    <n v="1858"/>
    <x v="857"/>
    <x v="857"/>
    <d v="2023-09-18T04:09:48"/>
    <s v="Customer_266"/>
    <x v="1"/>
    <s v="Healthy"/>
    <x v="5"/>
    <n v="4"/>
    <n v="246"/>
    <x v="218"/>
    <n v="4"/>
    <x v="3"/>
  </r>
  <r>
    <n v="1859"/>
    <x v="858"/>
    <x v="858"/>
    <d v="2023-09-18T11:26:58"/>
    <s v="Customer_227"/>
    <x v="0"/>
    <s v="Main Course"/>
    <x v="1"/>
    <n v="1"/>
    <n v="386"/>
    <x v="705"/>
    <n v="11"/>
    <x v="4"/>
  </r>
  <r>
    <n v="1860"/>
    <x v="859"/>
    <x v="859"/>
    <d v="2023-09-18T18:44:08"/>
    <s v="Customer_143"/>
    <x v="2"/>
    <s v="Healthy"/>
    <x v="2"/>
    <n v="3"/>
    <n v="753"/>
    <x v="706"/>
    <n v="18"/>
    <x v="5"/>
  </r>
  <r>
    <n v="1861"/>
    <x v="860"/>
    <x v="860"/>
    <d v="2023-09-19T02:01:18"/>
    <s v="Customer_93"/>
    <x v="3"/>
    <s v="Asian"/>
    <x v="2"/>
    <n v="1"/>
    <n v="152"/>
    <x v="707"/>
    <n v="2"/>
    <x v="6"/>
  </r>
  <r>
    <n v="1862"/>
    <x v="861"/>
    <x v="861"/>
    <d v="2023-09-19T09:18:28"/>
    <s v="Customer_300"/>
    <x v="0"/>
    <s v="Continental"/>
    <x v="3"/>
    <n v="2"/>
    <n v="403"/>
    <x v="708"/>
    <n v="9"/>
    <x v="0"/>
  </r>
  <r>
    <n v="1863"/>
    <x v="862"/>
    <x v="862"/>
    <d v="2023-09-19T16:35:38"/>
    <s v="Customer_224"/>
    <x v="0"/>
    <s v="Main Course"/>
    <x v="3"/>
    <n v="3"/>
    <n v="168"/>
    <x v="30"/>
    <n v="16"/>
    <x v="1"/>
  </r>
  <r>
    <n v="1864"/>
    <x v="863"/>
    <x v="863"/>
    <d v="2023-09-19T23:52:48"/>
    <s v="Customer_252"/>
    <x v="0"/>
    <s v="Healthy"/>
    <x v="6"/>
    <n v="2"/>
    <n v="460"/>
    <x v="59"/>
    <n v="23"/>
    <x v="2"/>
  </r>
  <r>
    <n v="1865"/>
    <x v="864"/>
    <x v="864"/>
    <d v="2023-09-20T07:09:57"/>
    <s v="Customer_47"/>
    <x v="1"/>
    <s v="Healthy"/>
    <x v="8"/>
    <n v="3"/>
    <n v="701"/>
    <x v="709"/>
    <n v="7"/>
    <x v="3"/>
  </r>
  <r>
    <n v="1866"/>
    <x v="865"/>
    <x v="865"/>
    <d v="2023-09-20T14:27:07"/>
    <s v="Customer_241"/>
    <x v="1"/>
    <s v="Healthy"/>
    <x v="5"/>
    <n v="5"/>
    <n v="319"/>
    <x v="710"/>
    <n v="14"/>
    <x v="4"/>
  </r>
  <r>
    <n v="1867"/>
    <x v="866"/>
    <x v="866"/>
    <d v="2023-09-20T21:44:17"/>
    <s v="Customer_179"/>
    <x v="1"/>
    <s v="Fast Food"/>
    <x v="9"/>
    <n v="4"/>
    <n v="803"/>
    <x v="711"/>
    <n v="21"/>
    <x v="5"/>
  </r>
  <r>
    <n v="1868"/>
    <x v="867"/>
    <x v="867"/>
    <d v="2023-09-21T05:01:27"/>
    <s v="Customer_210"/>
    <x v="3"/>
    <s v="Fast Food"/>
    <x v="3"/>
    <n v="5"/>
    <n v="674"/>
    <x v="712"/>
    <n v="5"/>
    <x v="6"/>
  </r>
  <r>
    <n v="1869"/>
    <x v="868"/>
    <x v="868"/>
    <d v="2023-09-21T12:18:37"/>
    <s v="Customer_171"/>
    <x v="2"/>
    <s v="Asian"/>
    <x v="9"/>
    <n v="2"/>
    <n v="684"/>
    <x v="256"/>
    <n v="12"/>
    <x v="0"/>
  </r>
  <r>
    <n v="1870"/>
    <x v="869"/>
    <x v="869"/>
    <d v="2023-09-21T19:35:47"/>
    <s v="Customer_165"/>
    <x v="0"/>
    <s v="Asian"/>
    <x v="4"/>
    <n v="4"/>
    <n v="260"/>
    <x v="662"/>
    <n v="19"/>
    <x v="1"/>
  </r>
  <r>
    <n v="1871"/>
    <x v="870"/>
    <x v="870"/>
    <d v="2023-09-22T02:52:57"/>
    <s v="Customer_54"/>
    <x v="1"/>
    <s v="Healthy"/>
    <x v="7"/>
    <n v="3"/>
    <n v="780"/>
    <x v="713"/>
    <n v="2"/>
    <x v="2"/>
  </r>
  <r>
    <n v="1872"/>
    <x v="871"/>
    <x v="871"/>
    <d v="2023-09-22T10:10:07"/>
    <s v="Customer_83"/>
    <x v="2"/>
    <s v="Fast Food"/>
    <x v="5"/>
    <n v="4"/>
    <n v="188"/>
    <x v="714"/>
    <n v="10"/>
    <x v="3"/>
  </r>
  <r>
    <n v="1873"/>
    <x v="872"/>
    <x v="872"/>
    <d v="2023-09-22T17:27:16"/>
    <s v="Customer_169"/>
    <x v="0"/>
    <s v="Continental"/>
    <x v="0"/>
    <n v="1"/>
    <n v="787"/>
    <x v="715"/>
    <n v="17"/>
    <x v="4"/>
  </r>
  <r>
    <n v="1874"/>
    <x v="873"/>
    <x v="873"/>
    <d v="2023-09-23T00:44:26"/>
    <s v="Customer_211"/>
    <x v="2"/>
    <s v="Continental"/>
    <x v="4"/>
    <n v="4"/>
    <n v="880"/>
    <x v="716"/>
    <n v="0"/>
    <x v="5"/>
  </r>
  <r>
    <n v="1875"/>
    <x v="874"/>
    <x v="874"/>
    <d v="2023-09-23T08:01:36"/>
    <s v="Customer_254"/>
    <x v="0"/>
    <s v="Healthy"/>
    <x v="9"/>
    <n v="1"/>
    <n v="684"/>
    <x v="219"/>
    <n v="8"/>
    <x v="6"/>
  </r>
  <r>
    <n v="1876"/>
    <x v="875"/>
    <x v="875"/>
    <d v="2023-09-23T15:18:46"/>
    <s v="Customer_148"/>
    <x v="2"/>
    <s v="Fast Food"/>
    <x v="9"/>
    <n v="4"/>
    <n v="856"/>
    <x v="717"/>
    <n v="15"/>
    <x v="0"/>
  </r>
  <r>
    <n v="1877"/>
    <x v="876"/>
    <x v="876"/>
    <d v="2023-09-23T22:35:56"/>
    <s v="Customer_206"/>
    <x v="1"/>
    <s v="Continental"/>
    <x v="9"/>
    <n v="1"/>
    <n v="688"/>
    <x v="49"/>
    <n v="22"/>
    <x v="1"/>
  </r>
  <r>
    <n v="1878"/>
    <x v="877"/>
    <x v="877"/>
    <d v="2023-09-24T05:53:06"/>
    <s v="Customer_282"/>
    <x v="2"/>
    <s v="Fast Food"/>
    <x v="2"/>
    <n v="2"/>
    <n v="258"/>
    <x v="567"/>
    <n v="5"/>
    <x v="2"/>
  </r>
  <r>
    <n v="1879"/>
    <x v="878"/>
    <x v="878"/>
    <d v="2023-09-24T13:10:16"/>
    <s v="Customer_19"/>
    <x v="2"/>
    <s v="Asian"/>
    <x v="6"/>
    <n v="5"/>
    <n v="588"/>
    <x v="699"/>
    <n v="13"/>
    <x v="3"/>
  </r>
  <r>
    <n v="1880"/>
    <x v="879"/>
    <x v="879"/>
    <d v="2023-09-24T20:27:25"/>
    <s v="Customer_233"/>
    <x v="0"/>
    <s v="Healthy"/>
    <x v="7"/>
    <n v="3"/>
    <n v="423"/>
    <x v="718"/>
    <n v="20"/>
    <x v="4"/>
  </r>
  <r>
    <n v="1881"/>
    <x v="880"/>
    <x v="880"/>
    <d v="2023-09-25T03:44:35"/>
    <s v="Customer_46"/>
    <x v="2"/>
    <s v="Healthy"/>
    <x v="4"/>
    <n v="4"/>
    <n v="709"/>
    <x v="719"/>
    <n v="3"/>
    <x v="5"/>
  </r>
  <r>
    <n v="1882"/>
    <x v="881"/>
    <x v="881"/>
    <d v="2023-09-25T11:01:45"/>
    <s v="Customer_162"/>
    <x v="3"/>
    <s v="Fast Food"/>
    <x v="1"/>
    <n v="5"/>
    <n v="480"/>
    <x v="720"/>
    <n v="11"/>
    <x v="6"/>
  </r>
  <r>
    <n v="1883"/>
    <x v="882"/>
    <x v="882"/>
    <d v="2023-09-25T18:18:55"/>
    <s v="Customer_130"/>
    <x v="0"/>
    <s v="Fast Food"/>
    <x v="2"/>
    <n v="3"/>
    <n v="201"/>
    <x v="721"/>
    <n v="18"/>
    <x v="0"/>
  </r>
  <r>
    <n v="1884"/>
    <x v="883"/>
    <x v="883"/>
    <d v="2023-09-26T01:36:05"/>
    <s v="Customer_166"/>
    <x v="2"/>
    <s v="Main Course"/>
    <x v="7"/>
    <n v="3"/>
    <n v="593"/>
    <x v="722"/>
    <n v="1"/>
    <x v="1"/>
  </r>
  <r>
    <n v="1885"/>
    <x v="884"/>
    <x v="884"/>
    <d v="2023-09-26T08:53:15"/>
    <s v="Customer_60"/>
    <x v="3"/>
    <s v="Continental"/>
    <x v="3"/>
    <n v="1"/>
    <n v="743"/>
    <x v="723"/>
    <n v="8"/>
    <x v="2"/>
  </r>
  <r>
    <n v="1886"/>
    <x v="885"/>
    <x v="885"/>
    <d v="2023-09-26T16:10:25"/>
    <s v="Customer_207"/>
    <x v="0"/>
    <s v="Asian"/>
    <x v="3"/>
    <n v="2"/>
    <n v="713"/>
    <x v="724"/>
    <n v="16"/>
    <x v="3"/>
  </r>
  <r>
    <n v="1887"/>
    <x v="886"/>
    <x v="886"/>
    <d v="2023-09-26T23:27:34"/>
    <s v="Customer_264"/>
    <x v="1"/>
    <s v="Continental"/>
    <x v="3"/>
    <n v="2"/>
    <n v="118"/>
    <x v="725"/>
    <n v="23"/>
    <x v="4"/>
  </r>
  <r>
    <n v="1888"/>
    <x v="887"/>
    <x v="887"/>
    <d v="2023-09-27T06:44:44"/>
    <s v="Customer_1"/>
    <x v="0"/>
    <s v="Main Course"/>
    <x v="4"/>
    <n v="5"/>
    <n v="553"/>
    <x v="726"/>
    <n v="6"/>
    <x v="5"/>
  </r>
  <r>
    <n v="1889"/>
    <x v="888"/>
    <x v="888"/>
    <d v="2023-09-27T14:01:54"/>
    <s v="Customer_278"/>
    <x v="0"/>
    <s v="Fast Food"/>
    <x v="6"/>
    <n v="2"/>
    <n v="581"/>
    <x v="44"/>
    <n v="14"/>
    <x v="6"/>
  </r>
  <r>
    <n v="1890"/>
    <x v="889"/>
    <x v="889"/>
    <d v="2023-09-27T21:19:04"/>
    <s v="Customer_237"/>
    <x v="2"/>
    <s v="Continental"/>
    <x v="9"/>
    <n v="4"/>
    <n v="693"/>
    <x v="122"/>
    <n v="21"/>
    <x v="0"/>
  </r>
  <r>
    <n v="1891"/>
    <x v="890"/>
    <x v="890"/>
    <d v="2023-09-28T04:36:14"/>
    <s v="Customer_212"/>
    <x v="3"/>
    <s v="Healthy"/>
    <x v="1"/>
    <n v="2"/>
    <n v="496"/>
    <x v="727"/>
    <n v="4"/>
    <x v="1"/>
  </r>
  <r>
    <n v="1892"/>
    <x v="891"/>
    <x v="891"/>
    <d v="2023-09-28T11:53:24"/>
    <s v="Customer_28"/>
    <x v="0"/>
    <s v="Continental"/>
    <x v="8"/>
    <n v="5"/>
    <n v="378"/>
    <x v="728"/>
    <n v="11"/>
    <x v="2"/>
  </r>
  <r>
    <n v="1893"/>
    <x v="892"/>
    <x v="892"/>
    <d v="2023-09-28T19:10:34"/>
    <s v="Customer_97"/>
    <x v="0"/>
    <s v="Fast Food"/>
    <x v="4"/>
    <n v="2"/>
    <n v="950"/>
    <x v="729"/>
    <n v="19"/>
    <x v="3"/>
  </r>
  <r>
    <n v="1894"/>
    <x v="893"/>
    <x v="893"/>
    <d v="2023-09-29T02:27:43"/>
    <s v="Customer_266"/>
    <x v="0"/>
    <s v="Continental"/>
    <x v="8"/>
    <n v="4"/>
    <n v="464"/>
    <x v="730"/>
    <n v="2"/>
    <x v="4"/>
  </r>
  <r>
    <n v="1895"/>
    <x v="894"/>
    <x v="894"/>
    <d v="2023-09-29T09:44:53"/>
    <s v="Customer_186"/>
    <x v="2"/>
    <s v="Main Course"/>
    <x v="9"/>
    <n v="1"/>
    <n v="430"/>
    <x v="498"/>
    <n v="9"/>
    <x v="5"/>
  </r>
  <r>
    <n v="1896"/>
    <x v="895"/>
    <x v="895"/>
    <d v="2023-09-29T17:02:03"/>
    <s v="Customer_256"/>
    <x v="0"/>
    <s v="Asian"/>
    <x v="6"/>
    <n v="5"/>
    <n v="740"/>
    <x v="52"/>
    <n v="17"/>
    <x v="6"/>
  </r>
  <r>
    <n v="1897"/>
    <x v="896"/>
    <x v="896"/>
    <d v="2023-09-30T00:19:13"/>
    <s v="Customer_227"/>
    <x v="3"/>
    <s v="Fast Food"/>
    <x v="6"/>
    <n v="1"/>
    <n v="443"/>
    <x v="204"/>
    <n v="0"/>
    <x v="0"/>
  </r>
  <r>
    <n v="1898"/>
    <x v="897"/>
    <x v="897"/>
    <d v="2023-09-30T07:36:23"/>
    <s v="Customer_27"/>
    <x v="2"/>
    <s v="Healthy"/>
    <x v="9"/>
    <n v="1"/>
    <n v="921"/>
    <x v="731"/>
    <n v="7"/>
    <x v="1"/>
  </r>
  <r>
    <n v="1899"/>
    <x v="898"/>
    <x v="898"/>
    <d v="2023-09-30T14:53:33"/>
    <s v="Customer_105"/>
    <x v="1"/>
    <s v="Main Course"/>
    <x v="9"/>
    <n v="1"/>
    <n v="554"/>
    <x v="449"/>
    <n v="14"/>
    <x v="2"/>
  </r>
  <r>
    <n v="1900"/>
    <x v="899"/>
    <x v="899"/>
    <d v="2023-09-30T22:10:43"/>
    <s v="Customer_137"/>
    <x v="1"/>
    <s v="Fast Food"/>
    <x v="5"/>
    <n v="3"/>
    <n v="700"/>
    <x v="151"/>
    <n v="22"/>
    <x v="3"/>
  </r>
  <r>
    <n v="1901"/>
    <x v="900"/>
    <x v="900"/>
    <d v="2023-10-01T05:27:52"/>
    <s v="Customer_282"/>
    <x v="2"/>
    <s v="Healthy"/>
    <x v="8"/>
    <n v="3"/>
    <n v="824"/>
    <x v="732"/>
    <n v="5"/>
    <x v="4"/>
  </r>
  <r>
    <n v="1902"/>
    <x v="901"/>
    <x v="901"/>
    <d v="2023-10-01T12:45:02"/>
    <s v="Customer_68"/>
    <x v="3"/>
    <s v="Healthy"/>
    <x v="6"/>
    <n v="1"/>
    <n v="754"/>
    <x v="733"/>
    <n v="12"/>
    <x v="5"/>
  </r>
  <r>
    <n v="1903"/>
    <x v="902"/>
    <x v="902"/>
    <d v="2023-10-01T20:02:12"/>
    <s v="Customer_148"/>
    <x v="2"/>
    <s v="Fast Food"/>
    <x v="9"/>
    <n v="5"/>
    <n v="164"/>
    <x v="463"/>
    <n v="20"/>
    <x v="6"/>
  </r>
  <r>
    <n v="1904"/>
    <x v="903"/>
    <x v="903"/>
    <d v="2023-10-02T03:19:22"/>
    <s v="Customer_225"/>
    <x v="2"/>
    <s v="Main Course"/>
    <x v="8"/>
    <n v="4"/>
    <n v="175"/>
    <x v="159"/>
    <n v="3"/>
    <x v="0"/>
  </r>
  <r>
    <n v="1905"/>
    <x v="904"/>
    <x v="904"/>
    <d v="2023-10-02T10:36:32"/>
    <s v="Customer_249"/>
    <x v="2"/>
    <s v="Healthy"/>
    <x v="9"/>
    <n v="4"/>
    <n v="810"/>
    <x v="105"/>
    <n v="10"/>
    <x v="1"/>
  </r>
  <r>
    <n v="1906"/>
    <x v="905"/>
    <x v="905"/>
    <d v="2023-10-02T17:53:42"/>
    <s v="Customer_63"/>
    <x v="2"/>
    <s v="Asian"/>
    <x v="0"/>
    <n v="2"/>
    <n v="242"/>
    <x v="369"/>
    <n v="17"/>
    <x v="2"/>
  </r>
  <r>
    <n v="1907"/>
    <x v="906"/>
    <x v="906"/>
    <d v="2023-10-03T01:10:52"/>
    <s v="Customer_15"/>
    <x v="0"/>
    <s v="Main Course"/>
    <x v="9"/>
    <n v="5"/>
    <n v="927"/>
    <x v="734"/>
    <n v="1"/>
    <x v="3"/>
  </r>
  <r>
    <n v="1908"/>
    <x v="907"/>
    <x v="907"/>
    <d v="2023-10-03T08:28:01"/>
    <s v="Customer_123"/>
    <x v="1"/>
    <s v="Healthy"/>
    <x v="5"/>
    <n v="3"/>
    <n v="704"/>
    <x v="182"/>
    <n v="8"/>
    <x v="4"/>
  </r>
  <r>
    <n v="1909"/>
    <x v="908"/>
    <x v="908"/>
    <d v="2023-10-03T15:45:11"/>
    <s v="Customer_82"/>
    <x v="3"/>
    <s v="Fast Food"/>
    <x v="1"/>
    <n v="1"/>
    <n v="572"/>
    <x v="735"/>
    <n v="15"/>
    <x v="5"/>
  </r>
  <r>
    <n v="1910"/>
    <x v="909"/>
    <x v="909"/>
    <d v="2023-10-03T23:02:21"/>
    <s v="Customer_160"/>
    <x v="0"/>
    <s v="Fast Food"/>
    <x v="6"/>
    <n v="2"/>
    <n v="516"/>
    <x v="736"/>
    <n v="23"/>
    <x v="6"/>
  </r>
  <r>
    <n v="1911"/>
    <x v="910"/>
    <x v="910"/>
    <d v="2023-10-04T06:19:31"/>
    <s v="Customer_283"/>
    <x v="1"/>
    <s v="Main Course"/>
    <x v="6"/>
    <n v="4"/>
    <n v="404"/>
    <x v="737"/>
    <n v="6"/>
    <x v="0"/>
  </r>
  <r>
    <n v="1912"/>
    <x v="911"/>
    <x v="911"/>
    <d v="2023-10-04T13:36:41"/>
    <s v="Customer_8"/>
    <x v="2"/>
    <s v="Healthy"/>
    <x v="8"/>
    <n v="3"/>
    <n v="835"/>
    <x v="125"/>
    <n v="13"/>
    <x v="1"/>
  </r>
  <r>
    <n v="1913"/>
    <x v="912"/>
    <x v="912"/>
    <d v="2023-10-04T20:53:51"/>
    <s v="Customer_283"/>
    <x v="1"/>
    <s v="Healthy"/>
    <x v="0"/>
    <n v="3"/>
    <n v="596"/>
    <x v="738"/>
    <n v="20"/>
    <x v="2"/>
  </r>
  <r>
    <n v="1914"/>
    <x v="913"/>
    <x v="913"/>
    <d v="2023-10-05T04:11:01"/>
    <s v="Customer_209"/>
    <x v="1"/>
    <s v="Main Course"/>
    <x v="7"/>
    <n v="1"/>
    <n v="390"/>
    <x v="739"/>
    <n v="4"/>
    <x v="3"/>
  </r>
  <r>
    <n v="1915"/>
    <x v="914"/>
    <x v="914"/>
    <d v="2023-10-05T11:28:10"/>
    <s v="Customer_48"/>
    <x v="0"/>
    <s v="Main Course"/>
    <x v="4"/>
    <n v="4"/>
    <n v="201"/>
    <x v="66"/>
    <n v="11"/>
    <x v="4"/>
  </r>
  <r>
    <n v="1916"/>
    <x v="915"/>
    <x v="915"/>
    <d v="2023-10-05T18:45:20"/>
    <s v="Customer_116"/>
    <x v="0"/>
    <s v="Main Course"/>
    <x v="3"/>
    <n v="5"/>
    <n v="366"/>
    <x v="740"/>
    <n v="18"/>
    <x v="5"/>
  </r>
  <r>
    <n v="1917"/>
    <x v="916"/>
    <x v="916"/>
    <d v="2023-10-06T02:02:30"/>
    <s v="Customer_59"/>
    <x v="3"/>
    <s v="Asian"/>
    <x v="6"/>
    <n v="3"/>
    <n v="966"/>
    <x v="741"/>
    <n v="2"/>
    <x v="6"/>
  </r>
  <r>
    <n v="1918"/>
    <x v="917"/>
    <x v="917"/>
    <d v="2023-10-06T09:19:40"/>
    <s v="Customer_237"/>
    <x v="2"/>
    <s v="Asian"/>
    <x v="3"/>
    <n v="1"/>
    <n v="721"/>
    <x v="742"/>
    <n v="9"/>
    <x v="0"/>
  </r>
  <r>
    <n v="1919"/>
    <x v="918"/>
    <x v="918"/>
    <d v="2023-10-06T16:36:50"/>
    <s v="Customer_61"/>
    <x v="2"/>
    <s v="Asian"/>
    <x v="3"/>
    <n v="5"/>
    <n v="941"/>
    <x v="743"/>
    <n v="16"/>
    <x v="1"/>
  </r>
  <r>
    <n v="1920"/>
    <x v="919"/>
    <x v="919"/>
    <d v="2023-10-06T23:54:00"/>
    <s v="Customer_79"/>
    <x v="2"/>
    <s v="Fast Food"/>
    <x v="9"/>
    <n v="4"/>
    <n v="876"/>
    <x v="744"/>
    <n v="23"/>
    <x v="2"/>
  </r>
  <r>
    <n v="1921"/>
    <x v="920"/>
    <x v="920"/>
    <d v="2023-10-07T07:11:10"/>
    <s v="Customer_256"/>
    <x v="1"/>
    <s v="Asian"/>
    <x v="4"/>
    <n v="3"/>
    <n v="102"/>
    <x v="562"/>
    <n v="7"/>
    <x v="3"/>
  </r>
  <r>
    <n v="1922"/>
    <x v="921"/>
    <x v="921"/>
    <d v="2023-10-07T14:28:19"/>
    <s v="Customer_150"/>
    <x v="1"/>
    <s v="Asian"/>
    <x v="1"/>
    <n v="5"/>
    <n v="184"/>
    <x v="59"/>
    <n v="14"/>
    <x v="4"/>
  </r>
  <r>
    <n v="1923"/>
    <x v="922"/>
    <x v="922"/>
    <d v="2023-10-07T21:45:29"/>
    <s v="Customer_261"/>
    <x v="2"/>
    <s v="Asian"/>
    <x v="6"/>
    <n v="5"/>
    <n v="893"/>
    <x v="745"/>
    <n v="21"/>
    <x v="5"/>
  </r>
  <r>
    <n v="1924"/>
    <x v="923"/>
    <x v="923"/>
    <d v="2023-10-08T05:02:39"/>
    <s v="Customer_140"/>
    <x v="3"/>
    <s v="Healthy"/>
    <x v="9"/>
    <n v="5"/>
    <n v="427"/>
    <x v="746"/>
    <n v="5"/>
    <x v="6"/>
  </r>
  <r>
    <n v="1925"/>
    <x v="924"/>
    <x v="924"/>
    <d v="2023-10-08T12:19:49"/>
    <s v="Customer_213"/>
    <x v="1"/>
    <s v="Continental"/>
    <x v="6"/>
    <n v="3"/>
    <n v="915"/>
    <x v="47"/>
    <n v="12"/>
    <x v="0"/>
  </r>
  <r>
    <n v="1926"/>
    <x v="925"/>
    <x v="925"/>
    <d v="2023-10-08T19:36:59"/>
    <s v="Customer_248"/>
    <x v="3"/>
    <s v="Asian"/>
    <x v="9"/>
    <n v="3"/>
    <n v="549"/>
    <x v="154"/>
    <n v="19"/>
    <x v="1"/>
  </r>
  <r>
    <n v="1927"/>
    <x v="926"/>
    <x v="926"/>
    <d v="2023-10-09T02:54:09"/>
    <s v="Customer_242"/>
    <x v="1"/>
    <s v="Main Course"/>
    <x v="6"/>
    <n v="2"/>
    <n v="553"/>
    <x v="747"/>
    <n v="2"/>
    <x v="2"/>
  </r>
  <r>
    <n v="1928"/>
    <x v="927"/>
    <x v="927"/>
    <d v="2023-10-09T10:11:19"/>
    <s v="Customer_125"/>
    <x v="0"/>
    <s v="Asian"/>
    <x v="5"/>
    <n v="4"/>
    <n v="728"/>
    <x v="748"/>
    <n v="10"/>
    <x v="3"/>
  </r>
  <r>
    <n v="1929"/>
    <x v="928"/>
    <x v="928"/>
    <d v="2023-10-09T17:28:28"/>
    <s v="Customer_234"/>
    <x v="0"/>
    <s v="Continental"/>
    <x v="0"/>
    <n v="1"/>
    <n v="320"/>
    <x v="749"/>
    <n v="17"/>
    <x v="4"/>
  </r>
  <r>
    <n v="1930"/>
    <x v="929"/>
    <x v="929"/>
    <d v="2023-10-10T00:45:38"/>
    <s v="Customer_283"/>
    <x v="2"/>
    <s v="Fast Food"/>
    <x v="9"/>
    <n v="5"/>
    <n v="253"/>
    <x v="750"/>
    <n v="0"/>
    <x v="5"/>
  </r>
  <r>
    <n v="1931"/>
    <x v="930"/>
    <x v="930"/>
    <d v="2023-10-10T08:02:48"/>
    <s v="Customer_75"/>
    <x v="0"/>
    <s v="Fast Food"/>
    <x v="2"/>
    <n v="2"/>
    <n v="764"/>
    <x v="751"/>
    <n v="8"/>
    <x v="6"/>
  </r>
  <r>
    <n v="1932"/>
    <x v="931"/>
    <x v="931"/>
    <d v="2023-10-10T15:19:58"/>
    <s v="Customer_197"/>
    <x v="1"/>
    <s v="Asian"/>
    <x v="3"/>
    <n v="1"/>
    <n v="111"/>
    <x v="79"/>
    <n v="15"/>
    <x v="0"/>
  </r>
  <r>
    <n v="1933"/>
    <x v="932"/>
    <x v="932"/>
    <d v="2023-10-10T22:37:08"/>
    <s v="Customer_98"/>
    <x v="1"/>
    <s v="Main Course"/>
    <x v="6"/>
    <n v="2"/>
    <n v="232"/>
    <x v="51"/>
    <n v="22"/>
    <x v="1"/>
  </r>
  <r>
    <n v="1934"/>
    <x v="933"/>
    <x v="933"/>
    <d v="2023-10-11T05:54:18"/>
    <s v="Customer_261"/>
    <x v="0"/>
    <s v="Main Course"/>
    <x v="6"/>
    <n v="3"/>
    <n v="403"/>
    <x v="752"/>
    <n v="5"/>
    <x v="2"/>
  </r>
  <r>
    <n v="1935"/>
    <x v="934"/>
    <x v="934"/>
    <d v="2023-10-11T13:11:28"/>
    <s v="Customer_70"/>
    <x v="0"/>
    <s v="Healthy"/>
    <x v="7"/>
    <n v="5"/>
    <n v="392"/>
    <x v="609"/>
    <n v="13"/>
    <x v="3"/>
  </r>
  <r>
    <n v="1936"/>
    <x v="935"/>
    <x v="935"/>
    <d v="2023-10-11T20:28:37"/>
    <s v="Customer_36"/>
    <x v="0"/>
    <s v="Main Course"/>
    <x v="4"/>
    <n v="1"/>
    <n v="399"/>
    <x v="753"/>
    <n v="20"/>
    <x v="4"/>
  </r>
  <r>
    <n v="1937"/>
    <x v="936"/>
    <x v="936"/>
    <d v="2023-10-12T03:45:47"/>
    <s v="Customer_142"/>
    <x v="2"/>
    <s v="Healthy"/>
    <x v="1"/>
    <n v="1"/>
    <n v="839"/>
    <x v="754"/>
    <n v="3"/>
    <x v="5"/>
  </r>
  <r>
    <n v="1938"/>
    <x v="937"/>
    <x v="937"/>
    <d v="2023-10-12T11:02:57"/>
    <s v="Customer_213"/>
    <x v="0"/>
    <s v="Healthy"/>
    <x v="1"/>
    <n v="1"/>
    <n v="882"/>
    <x v="755"/>
    <n v="11"/>
    <x v="6"/>
  </r>
  <r>
    <n v="1939"/>
    <x v="938"/>
    <x v="938"/>
    <d v="2023-10-12T18:20:07"/>
    <s v="Customer_175"/>
    <x v="1"/>
    <s v="Main Course"/>
    <x v="9"/>
    <n v="1"/>
    <n v="142"/>
    <x v="756"/>
    <n v="18"/>
    <x v="0"/>
  </r>
  <r>
    <n v="1940"/>
    <x v="939"/>
    <x v="939"/>
    <d v="2023-10-13T01:37:17"/>
    <s v="Customer_260"/>
    <x v="0"/>
    <s v="Main Course"/>
    <x v="7"/>
    <n v="1"/>
    <n v="442"/>
    <x v="506"/>
    <n v="1"/>
    <x v="1"/>
  </r>
  <r>
    <n v="1941"/>
    <x v="940"/>
    <x v="940"/>
    <d v="2023-10-13T08:54:27"/>
    <s v="Customer_137"/>
    <x v="2"/>
    <s v="Healthy"/>
    <x v="8"/>
    <n v="2"/>
    <n v="425"/>
    <x v="757"/>
    <n v="8"/>
    <x v="2"/>
  </r>
  <r>
    <n v="1942"/>
    <x v="941"/>
    <x v="941"/>
    <d v="2023-10-13T16:11:37"/>
    <s v="Customer_2"/>
    <x v="2"/>
    <s v="Fast Food"/>
    <x v="4"/>
    <n v="5"/>
    <n v="913"/>
    <x v="758"/>
    <n v="16"/>
    <x v="3"/>
  </r>
  <r>
    <n v="1943"/>
    <x v="942"/>
    <x v="942"/>
    <d v="2023-10-13T23:28:46"/>
    <s v="Customer_145"/>
    <x v="1"/>
    <s v="Asian"/>
    <x v="5"/>
    <n v="3"/>
    <n v="597"/>
    <x v="759"/>
    <n v="23"/>
    <x v="4"/>
  </r>
  <r>
    <n v="1944"/>
    <x v="943"/>
    <x v="943"/>
    <d v="2023-10-14T06:45:56"/>
    <s v="Customer_153"/>
    <x v="1"/>
    <s v="Fast Food"/>
    <x v="5"/>
    <n v="3"/>
    <n v="463"/>
    <x v="760"/>
    <n v="6"/>
    <x v="5"/>
  </r>
  <r>
    <n v="1945"/>
    <x v="944"/>
    <x v="944"/>
    <d v="2023-10-14T14:03:06"/>
    <s v="Customer_297"/>
    <x v="0"/>
    <s v="Main Course"/>
    <x v="1"/>
    <n v="3"/>
    <n v="990"/>
    <x v="690"/>
    <n v="14"/>
    <x v="6"/>
  </r>
  <r>
    <n v="1946"/>
    <x v="945"/>
    <x v="945"/>
    <d v="2023-10-14T21:20:16"/>
    <s v="Customer_251"/>
    <x v="1"/>
    <s v="Continental"/>
    <x v="9"/>
    <n v="3"/>
    <n v="526"/>
    <x v="761"/>
    <n v="21"/>
    <x v="0"/>
  </r>
  <r>
    <n v="1947"/>
    <x v="946"/>
    <x v="946"/>
    <d v="2023-10-15T04:37:26"/>
    <s v="Customer_77"/>
    <x v="3"/>
    <s v="Main Course"/>
    <x v="6"/>
    <n v="2"/>
    <n v="120"/>
    <x v="162"/>
    <n v="4"/>
    <x v="1"/>
  </r>
  <r>
    <n v="1948"/>
    <x v="947"/>
    <x v="947"/>
    <d v="2023-10-15T11:54:36"/>
    <s v="Customer_229"/>
    <x v="1"/>
    <s v="Healthy"/>
    <x v="7"/>
    <n v="4"/>
    <n v="506"/>
    <x v="762"/>
    <n v="11"/>
    <x v="2"/>
  </r>
  <r>
    <n v="1949"/>
    <x v="948"/>
    <x v="948"/>
    <d v="2023-10-15T19:11:46"/>
    <s v="Customer_276"/>
    <x v="3"/>
    <s v="Continental"/>
    <x v="9"/>
    <n v="5"/>
    <n v="718"/>
    <x v="763"/>
    <n v="19"/>
    <x v="3"/>
  </r>
  <r>
    <n v="1950"/>
    <x v="949"/>
    <x v="949"/>
    <d v="2023-10-16T02:28:55"/>
    <s v="Customer_248"/>
    <x v="3"/>
    <s v="Continental"/>
    <x v="3"/>
    <n v="1"/>
    <n v="435"/>
    <x v="764"/>
    <n v="2"/>
    <x v="4"/>
  </r>
  <r>
    <n v="1951"/>
    <x v="950"/>
    <x v="950"/>
    <d v="2023-10-16T09:46:05"/>
    <s v="Customer_177"/>
    <x v="1"/>
    <s v="Asian"/>
    <x v="6"/>
    <n v="4"/>
    <n v="914"/>
    <x v="765"/>
    <n v="9"/>
    <x v="5"/>
  </r>
  <r>
    <n v="1952"/>
    <x v="951"/>
    <x v="951"/>
    <d v="2023-10-16T17:03:15"/>
    <s v="Customer_171"/>
    <x v="3"/>
    <s v="Main Course"/>
    <x v="6"/>
    <n v="3"/>
    <n v="216"/>
    <x v="580"/>
    <n v="17"/>
    <x v="6"/>
  </r>
  <r>
    <n v="1953"/>
    <x v="952"/>
    <x v="952"/>
    <d v="2023-10-17T00:20:25"/>
    <s v="Customer_283"/>
    <x v="1"/>
    <s v="Asian"/>
    <x v="8"/>
    <n v="4"/>
    <n v="223"/>
    <x v="423"/>
    <n v="0"/>
    <x v="0"/>
  </r>
  <r>
    <n v="1954"/>
    <x v="953"/>
    <x v="953"/>
    <d v="2023-10-17T07:37:35"/>
    <s v="Customer_279"/>
    <x v="1"/>
    <s v="Fast Food"/>
    <x v="5"/>
    <n v="5"/>
    <n v="498"/>
    <x v="766"/>
    <n v="7"/>
    <x v="1"/>
  </r>
  <r>
    <n v="1955"/>
    <x v="954"/>
    <x v="954"/>
    <d v="2023-10-17T14:54:45"/>
    <s v="Customer_194"/>
    <x v="2"/>
    <s v="Continental"/>
    <x v="5"/>
    <n v="1"/>
    <n v="892"/>
    <x v="423"/>
    <n v="14"/>
    <x v="2"/>
  </r>
  <r>
    <n v="1956"/>
    <x v="955"/>
    <x v="955"/>
    <d v="2023-10-17T22:11:55"/>
    <s v="Customer_234"/>
    <x v="3"/>
    <s v="Asian"/>
    <x v="7"/>
    <n v="1"/>
    <n v="903"/>
    <x v="767"/>
    <n v="22"/>
    <x v="3"/>
  </r>
  <r>
    <n v="1957"/>
    <x v="956"/>
    <x v="956"/>
    <d v="2023-10-18T05:29:04"/>
    <s v="Customer_165"/>
    <x v="3"/>
    <s v="Fast Food"/>
    <x v="7"/>
    <n v="5"/>
    <n v="814"/>
    <x v="768"/>
    <n v="5"/>
    <x v="4"/>
  </r>
  <r>
    <n v="1958"/>
    <x v="957"/>
    <x v="957"/>
    <d v="2023-10-18T12:46:14"/>
    <s v="Customer_97"/>
    <x v="0"/>
    <s v="Main Course"/>
    <x v="3"/>
    <n v="5"/>
    <n v="150"/>
    <x v="666"/>
    <n v="12"/>
    <x v="5"/>
  </r>
  <r>
    <n v="1959"/>
    <x v="958"/>
    <x v="958"/>
    <d v="2023-10-18T20:03:24"/>
    <s v="Customer_123"/>
    <x v="1"/>
    <s v="Main Course"/>
    <x v="9"/>
    <n v="3"/>
    <n v="882"/>
    <x v="769"/>
    <n v="20"/>
    <x v="6"/>
  </r>
  <r>
    <n v="1960"/>
    <x v="959"/>
    <x v="959"/>
    <d v="2023-10-19T03:20:34"/>
    <s v="Customer_293"/>
    <x v="2"/>
    <s v="Healthy"/>
    <x v="6"/>
    <n v="1"/>
    <n v="423"/>
    <x v="770"/>
    <n v="3"/>
    <x v="0"/>
  </r>
  <r>
    <n v="1961"/>
    <x v="960"/>
    <x v="960"/>
    <d v="2023-10-19T10:37:44"/>
    <s v="Customer_197"/>
    <x v="2"/>
    <s v="Fast Food"/>
    <x v="5"/>
    <n v="4"/>
    <n v="888"/>
    <x v="771"/>
    <n v="10"/>
    <x v="1"/>
  </r>
  <r>
    <n v="1962"/>
    <x v="961"/>
    <x v="961"/>
    <d v="2023-10-19T17:54:54"/>
    <s v="Customer_120"/>
    <x v="0"/>
    <s v="Fast Food"/>
    <x v="8"/>
    <n v="2"/>
    <n v="240"/>
    <x v="198"/>
    <n v="17"/>
    <x v="2"/>
  </r>
  <r>
    <n v="1963"/>
    <x v="962"/>
    <x v="962"/>
    <d v="2023-10-20T01:12:04"/>
    <s v="Customer_211"/>
    <x v="3"/>
    <s v="Asian"/>
    <x v="1"/>
    <n v="2"/>
    <n v="569"/>
    <x v="772"/>
    <n v="1"/>
    <x v="3"/>
  </r>
  <r>
    <n v="1964"/>
    <x v="963"/>
    <x v="963"/>
    <d v="2023-10-20T08:29:13"/>
    <s v="Customer_23"/>
    <x v="2"/>
    <s v="Continental"/>
    <x v="5"/>
    <n v="5"/>
    <n v="886"/>
    <x v="773"/>
    <n v="8"/>
    <x v="4"/>
  </r>
  <r>
    <n v="1965"/>
    <x v="964"/>
    <x v="964"/>
    <d v="2023-10-20T15:46:23"/>
    <s v="Customer_163"/>
    <x v="3"/>
    <s v="Continental"/>
    <x v="1"/>
    <n v="3"/>
    <n v="901"/>
    <x v="774"/>
    <n v="15"/>
    <x v="5"/>
  </r>
  <r>
    <n v="1966"/>
    <x v="965"/>
    <x v="965"/>
    <d v="2023-10-20T23:03:33"/>
    <s v="Customer_243"/>
    <x v="2"/>
    <s v="Healthy"/>
    <x v="2"/>
    <n v="2"/>
    <n v="433"/>
    <x v="775"/>
    <n v="23"/>
    <x v="6"/>
  </r>
  <r>
    <n v="1967"/>
    <x v="966"/>
    <x v="966"/>
    <d v="2023-10-21T06:20:43"/>
    <s v="Customer_196"/>
    <x v="2"/>
    <s v="Healthy"/>
    <x v="8"/>
    <n v="1"/>
    <n v="992"/>
    <x v="727"/>
    <n v="6"/>
    <x v="0"/>
  </r>
  <r>
    <n v="1968"/>
    <x v="967"/>
    <x v="967"/>
    <d v="2023-10-21T13:37:53"/>
    <s v="Customer_198"/>
    <x v="1"/>
    <s v="Healthy"/>
    <x v="5"/>
    <n v="5"/>
    <n v="472"/>
    <x v="40"/>
    <n v="13"/>
    <x v="1"/>
  </r>
  <r>
    <n v="1969"/>
    <x v="968"/>
    <x v="968"/>
    <d v="2023-10-21T20:55:03"/>
    <s v="Customer_78"/>
    <x v="3"/>
    <s v="Fast Food"/>
    <x v="1"/>
    <n v="4"/>
    <n v="663"/>
    <x v="776"/>
    <n v="20"/>
    <x v="2"/>
  </r>
  <r>
    <n v="1970"/>
    <x v="969"/>
    <x v="969"/>
    <d v="2023-10-22T04:12:13"/>
    <s v="Customer_254"/>
    <x v="2"/>
    <s v="Main Course"/>
    <x v="4"/>
    <n v="5"/>
    <n v="593"/>
    <x v="777"/>
    <n v="4"/>
    <x v="3"/>
  </r>
  <r>
    <n v="1971"/>
    <x v="970"/>
    <x v="970"/>
    <d v="2023-10-22T11:29:22"/>
    <s v="Customer_19"/>
    <x v="1"/>
    <s v="Main Course"/>
    <x v="3"/>
    <n v="4"/>
    <n v="638"/>
    <x v="405"/>
    <n v="11"/>
    <x v="4"/>
  </r>
  <r>
    <n v="1972"/>
    <x v="971"/>
    <x v="971"/>
    <d v="2023-10-22T18:46:32"/>
    <s v="Customer_65"/>
    <x v="2"/>
    <s v="Asian"/>
    <x v="1"/>
    <n v="5"/>
    <n v="768"/>
    <x v="778"/>
    <n v="18"/>
    <x v="5"/>
  </r>
  <r>
    <n v="1973"/>
    <x v="972"/>
    <x v="972"/>
    <d v="2023-10-23T02:03:42"/>
    <s v="Customer_258"/>
    <x v="1"/>
    <s v="Continental"/>
    <x v="2"/>
    <n v="5"/>
    <n v="850"/>
    <x v="35"/>
    <n v="2"/>
    <x v="6"/>
  </r>
  <r>
    <n v="1974"/>
    <x v="973"/>
    <x v="973"/>
    <d v="2023-10-23T09:20:52"/>
    <s v="Customer_170"/>
    <x v="1"/>
    <s v="Continental"/>
    <x v="6"/>
    <n v="5"/>
    <n v="255"/>
    <x v="779"/>
    <n v="9"/>
    <x v="0"/>
  </r>
  <r>
    <n v="1975"/>
    <x v="974"/>
    <x v="974"/>
    <d v="2023-10-23T16:38:02"/>
    <s v="Customer_52"/>
    <x v="3"/>
    <s v="Asian"/>
    <x v="6"/>
    <n v="4"/>
    <n v="390"/>
    <x v="780"/>
    <n v="16"/>
    <x v="1"/>
  </r>
  <r>
    <n v="1976"/>
    <x v="975"/>
    <x v="975"/>
    <d v="2023-10-23T23:55:12"/>
    <s v="Customer_226"/>
    <x v="1"/>
    <s v="Fast Food"/>
    <x v="7"/>
    <n v="4"/>
    <n v="747"/>
    <x v="781"/>
    <n v="23"/>
    <x v="2"/>
  </r>
  <r>
    <n v="1977"/>
    <x v="976"/>
    <x v="976"/>
    <d v="2023-10-24T07:12:22"/>
    <s v="Customer_52"/>
    <x v="2"/>
    <s v="Main Course"/>
    <x v="1"/>
    <n v="5"/>
    <n v="243"/>
    <x v="782"/>
    <n v="7"/>
    <x v="3"/>
  </r>
  <r>
    <n v="1978"/>
    <x v="977"/>
    <x v="977"/>
    <d v="2023-10-24T14:29:31"/>
    <s v="Customer_270"/>
    <x v="0"/>
    <s v="Healthy"/>
    <x v="9"/>
    <n v="2"/>
    <n v="205"/>
    <x v="783"/>
    <n v="14"/>
    <x v="4"/>
  </r>
  <r>
    <n v="1979"/>
    <x v="978"/>
    <x v="978"/>
    <d v="2023-10-24T21:46:41"/>
    <s v="Customer_234"/>
    <x v="2"/>
    <s v="Main Course"/>
    <x v="0"/>
    <n v="3"/>
    <n v="519"/>
    <x v="784"/>
    <n v="21"/>
    <x v="5"/>
  </r>
  <r>
    <n v="1980"/>
    <x v="979"/>
    <x v="979"/>
    <d v="2023-10-25T05:03:51"/>
    <s v="Customer_8"/>
    <x v="2"/>
    <s v="Asian"/>
    <x v="3"/>
    <n v="3"/>
    <n v="769"/>
    <x v="785"/>
    <n v="5"/>
    <x v="6"/>
  </r>
  <r>
    <n v="1981"/>
    <x v="980"/>
    <x v="980"/>
    <d v="2023-10-25T12:21:01"/>
    <s v="Customer_74"/>
    <x v="1"/>
    <s v="Main Course"/>
    <x v="4"/>
    <n v="3"/>
    <n v="757"/>
    <x v="786"/>
    <n v="12"/>
    <x v="0"/>
  </r>
  <r>
    <n v="1982"/>
    <x v="981"/>
    <x v="981"/>
    <d v="2023-10-25T19:38:11"/>
    <s v="Customer_210"/>
    <x v="2"/>
    <s v="Healthy"/>
    <x v="7"/>
    <n v="4"/>
    <n v="101"/>
    <x v="493"/>
    <n v="19"/>
    <x v="1"/>
  </r>
  <r>
    <n v="1983"/>
    <x v="982"/>
    <x v="982"/>
    <d v="2023-10-26T02:55:21"/>
    <s v="Customer_80"/>
    <x v="1"/>
    <s v="Continental"/>
    <x v="0"/>
    <n v="4"/>
    <n v="688"/>
    <x v="787"/>
    <n v="2"/>
    <x v="2"/>
  </r>
  <r>
    <n v="1984"/>
    <x v="983"/>
    <x v="983"/>
    <d v="2023-10-26T10:12:31"/>
    <s v="Customer_39"/>
    <x v="3"/>
    <s v="Asian"/>
    <x v="6"/>
    <n v="2"/>
    <n v="743"/>
    <x v="788"/>
    <n v="10"/>
    <x v="3"/>
  </r>
  <r>
    <n v="1985"/>
    <x v="984"/>
    <x v="984"/>
    <d v="2023-10-26T17:29:40"/>
    <s v="Customer_241"/>
    <x v="1"/>
    <s v="Fast Food"/>
    <x v="5"/>
    <n v="3"/>
    <n v="189"/>
    <x v="789"/>
    <n v="17"/>
    <x v="4"/>
  </r>
  <r>
    <n v="1986"/>
    <x v="985"/>
    <x v="985"/>
    <d v="2023-10-27T00:46:50"/>
    <s v="Customer_136"/>
    <x v="3"/>
    <s v="Main Course"/>
    <x v="1"/>
    <n v="3"/>
    <n v="444"/>
    <x v="790"/>
    <n v="0"/>
    <x v="5"/>
  </r>
  <r>
    <n v="1987"/>
    <x v="986"/>
    <x v="986"/>
    <d v="2023-10-27T08:04:00"/>
    <s v="Customer_174"/>
    <x v="0"/>
    <s v="Main Course"/>
    <x v="0"/>
    <n v="5"/>
    <n v="449"/>
    <x v="791"/>
    <n v="8"/>
    <x v="6"/>
  </r>
  <r>
    <n v="1988"/>
    <x v="987"/>
    <x v="987"/>
    <d v="2023-10-27T15:21:10"/>
    <s v="Customer_204"/>
    <x v="2"/>
    <s v="Fast Food"/>
    <x v="4"/>
    <n v="4"/>
    <n v="558"/>
    <x v="792"/>
    <n v="15"/>
    <x v="0"/>
  </r>
  <r>
    <n v="1989"/>
    <x v="988"/>
    <x v="988"/>
    <d v="2023-10-27T22:38:20"/>
    <s v="Customer_42"/>
    <x v="3"/>
    <s v="Fast Food"/>
    <x v="8"/>
    <n v="3"/>
    <n v="362"/>
    <x v="793"/>
    <n v="22"/>
    <x v="1"/>
  </r>
  <r>
    <n v="1990"/>
    <x v="989"/>
    <x v="989"/>
    <d v="2023-10-28T05:55:30"/>
    <s v="Customer_169"/>
    <x v="0"/>
    <s v="Healthy"/>
    <x v="8"/>
    <n v="2"/>
    <n v="450"/>
    <x v="794"/>
    <n v="5"/>
    <x v="2"/>
  </r>
  <r>
    <n v="1991"/>
    <x v="990"/>
    <x v="990"/>
    <d v="2023-10-28T13:12:40"/>
    <s v="Customer_274"/>
    <x v="1"/>
    <s v="Main Course"/>
    <x v="6"/>
    <n v="2"/>
    <n v="207"/>
    <x v="62"/>
    <n v="13"/>
    <x v="3"/>
  </r>
  <r>
    <n v="1992"/>
    <x v="991"/>
    <x v="991"/>
    <d v="2023-10-28T20:29:49"/>
    <s v="Customer_195"/>
    <x v="0"/>
    <s v="Asian"/>
    <x v="5"/>
    <n v="3"/>
    <n v="685"/>
    <x v="795"/>
    <n v="20"/>
    <x v="4"/>
  </r>
  <r>
    <n v="1993"/>
    <x v="992"/>
    <x v="992"/>
    <d v="2023-10-29T03:46:59"/>
    <s v="Customer_163"/>
    <x v="3"/>
    <s v="Main Course"/>
    <x v="7"/>
    <n v="4"/>
    <n v="138"/>
    <x v="142"/>
    <n v="3"/>
    <x v="5"/>
  </r>
  <r>
    <n v="1994"/>
    <x v="993"/>
    <x v="993"/>
    <d v="2023-10-29T11:04:09"/>
    <s v="Customer_250"/>
    <x v="2"/>
    <s v="Healthy"/>
    <x v="5"/>
    <n v="2"/>
    <n v="258"/>
    <x v="567"/>
    <n v="11"/>
    <x v="6"/>
  </r>
  <r>
    <n v="1995"/>
    <x v="994"/>
    <x v="994"/>
    <d v="2023-10-29T18:21:19"/>
    <s v="Customer_278"/>
    <x v="0"/>
    <s v="Asian"/>
    <x v="8"/>
    <n v="5"/>
    <n v="682"/>
    <x v="796"/>
    <n v="18"/>
    <x v="0"/>
  </r>
  <r>
    <n v="1996"/>
    <x v="995"/>
    <x v="995"/>
    <d v="2023-10-30T01:38:29"/>
    <s v="Customer_19"/>
    <x v="0"/>
    <s v="Asian"/>
    <x v="1"/>
    <n v="2"/>
    <n v="411"/>
    <x v="797"/>
    <n v="1"/>
    <x v="1"/>
  </r>
  <r>
    <n v="1997"/>
    <x v="996"/>
    <x v="996"/>
    <d v="2023-10-30T08:55:39"/>
    <s v="Customer_36"/>
    <x v="1"/>
    <s v="Asian"/>
    <x v="4"/>
    <n v="1"/>
    <n v="340"/>
    <x v="798"/>
    <n v="8"/>
    <x v="2"/>
  </r>
  <r>
    <n v="1998"/>
    <x v="997"/>
    <x v="997"/>
    <d v="2023-10-30T16:12:49"/>
    <s v="Customer_121"/>
    <x v="1"/>
    <s v="Healthy"/>
    <x v="2"/>
    <n v="1"/>
    <n v="544"/>
    <x v="799"/>
    <n v="16"/>
    <x v="3"/>
  </r>
  <r>
    <n v="1999"/>
    <x v="998"/>
    <x v="998"/>
    <d v="2023-10-30T23:29:58"/>
    <s v="Customer_148"/>
    <x v="2"/>
    <s v="Main Course"/>
    <x v="1"/>
    <n v="4"/>
    <n v="397"/>
    <x v="605"/>
    <n v="23"/>
    <x v="4"/>
  </r>
  <r>
    <n v="2000"/>
    <x v="999"/>
    <x v="999"/>
    <d v="2023-10-31T06:47:08"/>
    <s v="Customer_117"/>
    <x v="1"/>
    <s v="Continental"/>
    <x v="2"/>
    <n v="3"/>
    <n v="135"/>
    <x v="800"/>
    <n v="6"/>
    <x v="5"/>
  </r>
  <r>
    <n v="2001"/>
    <x v="1000"/>
    <x v="1000"/>
    <d v="2023-10-31T14:04:18"/>
    <s v="Customer_47"/>
    <x v="3"/>
    <s v="Asian"/>
    <x v="7"/>
    <n v="4"/>
    <n v="183"/>
    <x v="402"/>
    <n v="14"/>
    <x v="6"/>
  </r>
  <r>
    <n v="2002"/>
    <x v="1001"/>
    <x v="1001"/>
    <d v="2023-10-31T21:21:28"/>
    <s v="Customer_223"/>
    <x v="3"/>
    <s v="Fast Food"/>
    <x v="9"/>
    <n v="4"/>
    <n v="551"/>
    <x v="801"/>
    <n v="21"/>
    <x v="0"/>
  </r>
  <r>
    <n v="2003"/>
    <x v="1002"/>
    <x v="1002"/>
    <d v="2023-11-01T04:38:38"/>
    <s v="Customer_51"/>
    <x v="0"/>
    <s v="Healthy"/>
    <x v="1"/>
    <n v="4"/>
    <n v="985"/>
    <x v="367"/>
    <n v="4"/>
    <x v="1"/>
  </r>
  <r>
    <n v="2004"/>
    <x v="1003"/>
    <x v="1003"/>
    <d v="2023-11-01T11:55:48"/>
    <s v="Customer_52"/>
    <x v="1"/>
    <s v="Asian"/>
    <x v="6"/>
    <n v="4"/>
    <n v="874"/>
    <x v="802"/>
    <n v="11"/>
    <x v="2"/>
  </r>
  <r>
    <n v="2005"/>
    <x v="1004"/>
    <x v="1004"/>
    <d v="2023-11-01T19:12:58"/>
    <s v="Customer_228"/>
    <x v="1"/>
    <s v="Healthy"/>
    <x v="0"/>
    <n v="5"/>
    <n v="921"/>
    <x v="3"/>
    <n v="19"/>
    <x v="3"/>
  </r>
  <r>
    <n v="2006"/>
    <x v="1005"/>
    <x v="1005"/>
    <d v="2023-11-02T02:30:08"/>
    <s v="Customer_86"/>
    <x v="0"/>
    <s v="Fast Food"/>
    <x v="0"/>
    <n v="5"/>
    <n v="484"/>
    <x v="803"/>
    <n v="2"/>
    <x v="4"/>
  </r>
  <r>
    <n v="2007"/>
    <x v="1006"/>
    <x v="1006"/>
    <d v="2023-11-02T09:47:17"/>
    <s v="Customer_154"/>
    <x v="2"/>
    <s v="Asian"/>
    <x v="5"/>
    <n v="2"/>
    <n v="271"/>
    <x v="804"/>
    <n v="9"/>
    <x v="5"/>
  </r>
  <r>
    <n v="2008"/>
    <x v="1007"/>
    <x v="1007"/>
    <d v="2023-11-02T17:04:27"/>
    <s v="Customer_15"/>
    <x v="1"/>
    <s v="Main Course"/>
    <x v="1"/>
    <n v="1"/>
    <n v="475"/>
    <x v="805"/>
    <n v="17"/>
    <x v="6"/>
  </r>
  <r>
    <n v="2009"/>
    <x v="1008"/>
    <x v="1008"/>
    <d v="2023-11-03T00:21:37"/>
    <s v="Customer_24"/>
    <x v="1"/>
    <s v="Healthy"/>
    <x v="6"/>
    <n v="4"/>
    <n v="784"/>
    <x v="806"/>
    <n v="0"/>
    <x v="0"/>
  </r>
  <r>
    <n v="2010"/>
    <x v="1009"/>
    <x v="1009"/>
    <d v="2023-11-03T07:38:47"/>
    <s v="Customer_167"/>
    <x v="2"/>
    <s v="Asian"/>
    <x v="2"/>
    <n v="2"/>
    <n v="461"/>
    <x v="807"/>
    <n v="7"/>
    <x v="1"/>
  </r>
  <r>
    <n v="2011"/>
    <x v="1010"/>
    <x v="1010"/>
    <d v="2023-11-03T14:55:57"/>
    <s v="Customer_29"/>
    <x v="1"/>
    <s v="Asian"/>
    <x v="6"/>
    <n v="1"/>
    <n v="658"/>
    <x v="808"/>
    <n v="14"/>
    <x v="2"/>
  </r>
  <r>
    <n v="2012"/>
    <x v="1011"/>
    <x v="1011"/>
    <d v="2023-11-03T22:13:07"/>
    <s v="Customer_151"/>
    <x v="3"/>
    <s v="Healthy"/>
    <x v="0"/>
    <n v="3"/>
    <n v="990"/>
    <x v="690"/>
    <n v="22"/>
    <x v="3"/>
  </r>
  <r>
    <n v="2013"/>
    <x v="1012"/>
    <x v="1012"/>
    <d v="2023-11-04T05:30:17"/>
    <s v="Customer_184"/>
    <x v="3"/>
    <s v="Fast Food"/>
    <x v="1"/>
    <n v="5"/>
    <n v="240"/>
    <x v="48"/>
    <n v="5"/>
    <x v="4"/>
  </r>
  <r>
    <n v="2014"/>
    <x v="1013"/>
    <x v="1013"/>
    <d v="2023-11-04T12:47:26"/>
    <s v="Customer_192"/>
    <x v="2"/>
    <s v="Healthy"/>
    <x v="4"/>
    <n v="1"/>
    <n v="986"/>
    <x v="809"/>
    <n v="12"/>
    <x v="5"/>
  </r>
  <r>
    <n v="2015"/>
    <x v="1014"/>
    <x v="1014"/>
    <d v="2023-11-04T20:04:36"/>
    <s v="Customer_221"/>
    <x v="2"/>
    <s v="Continental"/>
    <x v="1"/>
    <n v="3"/>
    <n v="217"/>
    <x v="810"/>
    <n v="20"/>
    <x v="6"/>
  </r>
  <r>
    <n v="2016"/>
    <x v="1015"/>
    <x v="1015"/>
    <d v="2023-11-05T03:21:46"/>
    <s v="Customer_75"/>
    <x v="3"/>
    <s v="Main Course"/>
    <x v="5"/>
    <n v="1"/>
    <n v="376"/>
    <x v="811"/>
    <n v="3"/>
    <x v="0"/>
  </r>
  <r>
    <n v="2017"/>
    <x v="1016"/>
    <x v="1016"/>
    <d v="2023-11-05T10:38:56"/>
    <s v="Customer_126"/>
    <x v="3"/>
    <s v="Fast Food"/>
    <x v="5"/>
    <n v="5"/>
    <n v="825"/>
    <x v="456"/>
    <n v="10"/>
    <x v="1"/>
  </r>
  <r>
    <n v="2018"/>
    <x v="1017"/>
    <x v="1017"/>
    <d v="2023-11-05T17:56:06"/>
    <s v="Customer_272"/>
    <x v="3"/>
    <s v="Main Course"/>
    <x v="3"/>
    <n v="5"/>
    <n v="319"/>
    <x v="710"/>
    <n v="17"/>
    <x v="2"/>
  </r>
  <r>
    <n v="2019"/>
    <x v="1018"/>
    <x v="1018"/>
    <d v="2023-11-06T01:13:16"/>
    <s v="Customer_211"/>
    <x v="3"/>
    <s v="Main Course"/>
    <x v="9"/>
    <n v="2"/>
    <n v="125"/>
    <x v="676"/>
    <n v="1"/>
    <x v="3"/>
  </r>
  <r>
    <n v="2020"/>
    <x v="1019"/>
    <x v="1019"/>
    <d v="2023-11-06T08:30:26"/>
    <s v="Customer_290"/>
    <x v="2"/>
    <s v="Healthy"/>
    <x v="2"/>
    <n v="4"/>
    <n v="620"/>
    <x v="267"/>
    <n v="8"/>
    <x v="4"/>
  </r>
  <r>
    <n v="2021"/>
    <x v="1020"/>
    <x v="1020"/>
    <d v="2023-11-06T15:47:35"/>
    <s v="Customer_93"/>
    <x v="2"/>
    <s v="Continental"/>
    <x v="5"/>
    <n v="1"/>
    <n v="882"/>
    <x v="755"/>
    <n v="15"/>
    <x v="5"/>
  </r>
  <r>
    <n v="2022"/>
    <x v="1021"/>
    <x v="1021"/>
    <d v="2023-11-06T23:04:45"/>
    <s v="Customer_88"/>
    <x v="0"/>
    <s v="Asian"/>
    <x v="5"/>
    <n v="1"/>
    <n v="109"/>
    <x v="812"/>
    <n v="23"/>
    <x v="6"/>
  </r>
  <r>
    <n v="2023"/>
    <x v="1022"/>
    <x v="1022"/>
    <d v="2023-11-07T06:21:55"/>
    <s v="Customer_90"/>
    <x v="2"/>
    <s v="Continental"/>
    <x v="3"/>
    <n v="3"/>
    <n v="477"/>
    <x v="813"/>
    <n v="6"/>
    <x v="0"/>
  </r>
  <r>
    <n v="2024"/>
    <x v="1023"/>
    <x v="1023"/>
    <d v="2023-11-07T13:39:05"/>
    <s v="Customer_41"/>
    <x v="3"/>
    <s v="Fast Food"/>
    <x v="0"/>
    <n v="5"/>
    <n v="732"/>
    <x v="814"/>
    <n v="13"/>
    <x v="1"/>
  </r>
  <r>
    <n v="2025"/>
    <x v="1024"/>
    <x v="1024"/>
    <d v="2023-11-07T20:56:15"/>
    <s v="Customer_196"/>
    <x v="1"/>
    <s v="Continental"/>
    <x v="0"/>
    <n v="1"/>
    <n v="736"/>
    <x v="815"/>
    <n v="20"/>
    <x v="2"/>
  </r>
  <r>
    <n v="2026"/>
    <x v="1025"/>
    <x v="1025"/>
    <d v="2023-11-08T04:13:25"/>
    <s v="Customer_124"/>
    <x v="3"/>
    <s v="Main Course"/>
    <x v="6"/>
    <n v="5"/>
    <n v="781"/>
    <x v="816"/>
    <n v="4"/>
    <x v="3"/>
  </r>
  <r>
    <n v="2027"/>
    <x v="1026"/>
    <x v="1026"/>
    <d v="2023-11-08T11:30:35"/>
    <s v="Customer_255"/>
    <x v="3"/>
    <s v="Asian"/>
    <x v="2"/>
    <n v="1"/>
    <n v="683"/>
    <x v="817"/>
    <n v="11"/>
    <x v="4"/>
  </r>
  <r>
    <n v="2028"/>
    <x v="1027"/>
    <x v="1027"/>
    <d v="2023-11-08T18:47:44"/>
    <s v="Customer_299"/>
    <x v="2"/>
    <s v="Continental"/>
    <x v="1"/>
    <n v="2"/>
    <n v="251"/>
    <x v="818"/>
    <n v="18"/>
    <x v="5"/>
  </r>
  <r>
    <n v="2029"/>
    <x v="1028"/>
    <x v="1028"/>
    <d v="2023-11-09T02:04:54"/>
    <s v="Customer_74"/>
    <x v="0"/>
    <s v="Asian"/>
    <x v="9"/>
    <n v="4"/>
    <n v="819"/>
    <x v="819"/>
    <n v="2"/>
    <x v="6"/>
  </r>
  <r>
    <n v="2030"/>
    <x v="1029"/>
    <x v="1029"/>
    <d v="2023-11-09T09:22:04"/>
    <s v="Customer_119"/>
    <x v="1"/>
    <s v="Continental"/>
    <x v="7"/>
    <n v="1"/>
    <n v="148"/>
    <x v="820"/>
    <n v="9"/>
    <x v="0"/>
  </r>
  <r>
    <n v="2031"/>
    <x v="1030"/>
    <x v="1030"/>
    <d v="2023-11-09T16:39:14"/>
    <s v="Customer_237"/>
    <x v="1"/>
    <s v="Asian"/>
    <x v="4"/>
    <n v="5"/>
    <n v="253"/>
    <x v="750"/>
    <n v="16"/>
    <x v="1"/>
  </r>
  <r>
    <n v="2032"/>
    <x v="1031"/>
    <x v="1031"/>
    <d v="2023-11-09T23:56:24"/>
    <s v="Customer_131"/>
    <x v="0"/>
    <s v="Continental"/>
    <x v="3"/>
    <n v="2"/>
    <n v="958"/>
    <x v="296"/>
    <n v="23"/>
    <x v="2"/>
  </r>
  <r>
    <n v="2033"/>
    <x v="1032"/>
    <x v="1032"/>
    <d v="2023-11-10T07:13:34"/>
    <s v="Customer_236"/>
    <x v="3"/>
    <s v="Fast Food"/>
    <x v="9"/>
    <n v="1"/>
    <n v="392"/>
    <x v="821"/>
    <n v="7"/>
    <x v="3"/>
  </r>
  <r>
    <n v="2034"/>
    <x v="1033"/>
    <x v="1033"/>
    <d v="2023-11-10T14:30:44"/>
    <s v="Customer_131"/>
    <x v="2"/>
    <s v="Asian"/>
    <x v="7"/>
    <n v="3"/>
    <n v="679"/>
    <x v="822"/>
    <n v="14"/>
    <x v="4"/>
  </r>
  <r>
    <n v="2035"/>
    <x v="1034"/>
    <x v="1034"/>
    <d v="2023-11-10T21:47:53"/>
    <s v="Customer_5"/>
    <x v="3"/>
    <s v="Healthy"/>
    <x v="4"/>
    <n v="4"/>
    <n v="149"/>
    <x v="823"/>
    <n v="21"/>
    <x v="5"/>
  </r>
  <r>
    <n v="2036"/>
    <x v="1035"/>
    <x v="1035"/>
    <d v="2023-11-11T05:05:03"/>
    <s v="Customer_239"/>
    <x v="1"/>
    <s v="Main Course"/>
    <x v="5"/>
    <n v="1"/>
    <n v="763"/>
    <x v="824"/>
    <n v="5"/>
    <x v="6"/>
  </r>
  <r>
    <n v="2037"/>
    <x v="1036"/>
    <x v="1036"/>
    <d v="2023-11-11T12:22:13"/>
    <s v="Customer_148"/>
    <x v="1"/>
    <s v="Asian"/>
    <x v="1"/>
    <n v="2"/>
    <n v="630"/>
    <x v="825"/>
    <n v="12"/>
    <x v="0"/>
  </r>
  <r>
    <n v="2038"/>
    <x v="1037"/>
    <x v="1037"/>
    <d v="2023-11-11T19:39:23"/>
    <s v="Customer_280"/>
    <x v="3"/>
    <s v="Main Course"/>
    <x v="2"/>
    <n v="3"/>
    <n v="711"/>
    <x v="826"/>
    <n v="19"/>
    <x v="1"/>
  </r>
  <r>
    <n v="2039"/>
    <x v="1038"/>
    <x v="1038"/>
    <d v="2023-11-12T02:56:33"/>
    <s v="Customer_81"/>
    <x v="1"/>
    <s v="Continental"/>
    <x v="5"/>
    <n v="2"/>
    <n v="159"/>
    <x v="318"/>
    <n v="2"/>
    <x v="2"/>
  </r>
  <r>
    <n v="2040"/>
    <x v="1039"/>
    <x v="1039"/>
    <d v="2023-11-12T10:13:43"/>
    <s v="Customer_38"/>
    <x v="2"/>
    <s v="Continental"/>
    <x v="6"/>
    <n v="2"/>
    <n v="266"/>
    <x v="827"/>
    <n v="10"/>
    <x v="3"/>
  </r>
  <r>
    <n v="2041"/>
    <x v="1040"/>
    <x v="1040"/>
    <d v="2023-11-12T17:30:53"/>
    <s v="Customer_227"/>
    <x v="1"/>
    <s v="Continental"/>
    <x v="8"/>
    <n v="3"/>
    <n v="301"/>
    <x v="767"/>
    <n v="17"/>
    <x v="4"/>
  </r>
  <r>
    <n v="2042"/>
    <x v="1041"/>
    <x v="1041"/>
    <d v="2023-11-13T00:48:02"/>
    <s v="Customer_177"/>
    <x v="2"/>
    <s v="Continental"/>
    <x v="9"/>
    <n v="2"/>
    <n v="956"/>
    <x v="620"/>
    <n v="0"/>
    <x v="5"/>
  </r>
  <r>
    <n v="2043"/>
    <x v="1042"/>
    <x v="1042"/>
    <d v="2023-11-13T08:05:12"/>
    <s v="Customer_154"/>
    <x v="3"/>
    <s v="Continental"/>
    <x v="1"/>
    <n v="3"/>
    <n v="245"/>
    <x v="828"/>
    <n v="8"/>
    <x v="6"/>
  </r>
  <r>
    <n v="2044"/>
    <x v="1043"/>
    <x v="1043"/>
    <d v="2023-11-13T15:22:22"/>
    <s v="Customer_218"/>
    <x v="3"/>
    <s v="Fast Food"/>
    <x v="8"/>
    <n v="1"/>
    <n v="775"/>
    <x v="626"/>
    <n v="15"/>
    <x v="0"/>
  </r>
  <r>
    <n v="2045"/>
    <x v="1044"/>
    <x v="1044"/>
    <d v="2023-11-13T22:39:32"/>
    <s v="Customer_129"/>
    <x v="2"/>
    <s v="Main Course"/>
    <x v="7"/>
    <n v="3"/>
    <n v="538"/>
    <x v="829"/>
    <n v="22"/>
    <x v="1"/>
  </r>
  <r>
    <n v="2046"/>
    <x v="1045"/>
    <x v="1045"/>
    <d v="2023-11-14T05:56:42"/>
    <s v="Customer_234"/>
    <x v="2"/>
    <s v="Asian"/>
    <x v="9"/>
    <n v="3"/>
    <n v="341"/>
    <x v="362"/>
    <n v="5"/>
    <x v="2"/>
  </r>
  <r>
    <n v="2047"/>
    <x v="1046"/>
    <x v="1046"/>
    <d v="2023-11-14T13:13:52"/>
    <s v="Customer_155"/>
    <x v="2"/>
    <s v="Fast Food"/>
    <x v="3"/>
    <n v="4"/>
    <n v="680"/>
    <x v="561"/>
    <n v="13"/>
    <x v="3"/>
  </r>
  <r>
    <n v="2048"/>
    <x v="1047"/>
    <x v="1047"/>
    <d v="2023-11-14T20:31:02"/>
    <s v="Customer_102"/>
    <x v="1"/>
    <s v="Fast Food"/>
    <x v="6"/>
    <n v="3"/>
    <n v="786"/>
    <x v="401"/>
    <n v="20"/>
    <x v="4"/>
  </r>
  <r>
    <n v="2049"/>
    <x v="1048"/>
    <x v="1048"/>
    <d v="2023-11-15T03:48:11"/>
    <s v="Customer_197"/>
    <x v="3"/>
    <s v="Fast Food"/>
    <x v="1"/>
    <n v="3"/>
    <n v="660"/>
    <x v="243"/>
    <n v="3"/>
    <x v="5"/>
  </r>
  <r>
    <n v="2050"/>
    <x v="1049"/>
    <x v="1049"/>
    <d v="2023-11-15T11:05:21"/>
    <s v="Customer_248"/>
    <x v="1"/>
    <s v="Fast Food"/>
    <x v="7"/>
    <n v="1"/>
    <n v="582"/>
    <x v="830"/>
    <n v="11"/>
    <x v="6"/>
  </r>
  <r>
    <n v="2051"/>
    <x v="1050"/>
    <x v="1050"/>
    <d v="2023-11-15T18:22:31"/>
    <s v="Customer_55"/>
    <x v="1"/>
    <s v="Fast Food"/>
    <x v="7"/>
    <n v="4"/>
    <n v="207"/>
    <x v="474"/>
    <n v="18"/>
    <x v="0"/>
  </r>
  <r>
    <n v="2052"/>
    <x v="1051"/>
    <x v="1051"/>
    <d v="2023-11-16T01:39:41"/>
    <s v="Customer_122"/>
    <x v="2"/>
    <s v="Main Course"/>
    <x v="0"/>
    <n v="5"/>
    <n v="325"/>
    <x v="272"/>
    <n v="1"/>
    <x v="1"/>
  </r>
  <r>
    <n v="2053"/>
    <x v="1052"/>
    <x v="1052"/>
    <d v="2023-11-16T08:56:51"/>
    <s v="Customer_196"/>
    <x v="1"/>
    <s v="Asian"/>
    <x v="4"/>
    <n v="1"/>
    <n v="772"/>
    <x v="489"/>
    <n v="8"/>
    <x v="2"/>
  </r>
  <r>
    <n v="2054"/>
    <x v="1053"/>
    <x v="1053"/>
    <d v="2023-11-16T16:14:01"/>
    <s v="Customer_293"/>
    <x v="0"/>
    <s v="Main Course"/>
    <x v="2"/>
    <n v="1"/>
    <n v="730"/>
    <x v="547"/>
    <n v="16"/>
    <x v="3"/>
  </r>
  <r>
    <n v="2055"/>
    <x v="1054"/>
    <x v="1054"/>
    <d v="2023-11-16T23:31:11"/>
    <s v="Customer_184"/>
    <x v="0"/>
    <s v="Asian"/>
    <x v="7"/>
    <n v="5"/>
    <n v="760"/>
    <x v="831"/>
    <n v="23"/>
    <x v="4"/>
  </r>
  <r>
    <n v="2056"/>
    <x v="1055"/>
    <x v="1055"/>
    <d v="2023-11-17T06:48:20"/>
    <s v="Customer_295"/>
    <x v="0"/>
    <s v="Fast Food"/>
    <x v="6"/>
    <n v="3"/>
    <n v="761"/>
    <x v="554"/>
    <n v="6"/>
    <x v="5"/>
  </r>
  <r>
    <n v="2057"/>
    <x v="1056"/>
    <x v="1056"/>
    <d v="2023-11-17T14:05:30"/>
    <s v="Customer_152"/>
    <x v="0"/>
    <s v="Fast Food"/>
    <x v="8"/>
    <n v="2"/>
    <n v="531"/>
    <x v="832"/>
    <n v="14"/>
    <x v="6"/>
  </r>
  <r>
    <n v="2058"/>
    <x v="1057"/>
    <x v="1057"/>
    <d v="2023-11-17T21:22:40"/>
    <s v="Customer_152"/>
    <x v="0"/>
    <s v="Continental"/>
    <x v="1"/>
    <n v="4"/>
    <n v="904"/>
    <x v="197"/>
    <n v="21"/>
    <x v="0"/>
  </r>
  <r>
    <n v="2059"/>
    <x v="1058"/>
    <x v="1058"/>
    <d v="2023-11-18T04:39:50"/>
    <s v="Customer_12"/>
    <x v="2"/>
    <s v="Healthy"/>
    <x v="1"/>
    <n v="2"/>
    <n v="754"/>
    <x v="96"/>
    <n v="4"/>
    <x v="1"/>
  </r>
  <r>
    <n v="2060"/>
    <x v="1059"/>
    <x v="1059"/>
    <d v="2023-11-18T11:57:00"/>
    <s v="Customer_203"/>
    <x v="1"/>
    <s v="Healthy"/>
    <x v="6"/>
    <n v="5"/>
    <n v="518"/>
    <x v="244"/>
    <n v="11"/>
    <x v="2"/>
  </r>
  <r>
    <n v="2061"/>
    <x v="1060"/>
    <x v="1060"/>
    <d v="2023-11-18T19:14:10"/>
    <s v="Customer_141"/>
    <x v="1"/>
    <s v="Main Course"/>
    <x v="5"/>
    <n v="1"/>
    <n v="554"/>
    <x v="449"/>
    <n v="19"/>
    <x v="3"/>
  </r>
  <r>
    <n v="2062"/>
    <x v="1061"/>
    <x v="1061"/>
    <d v="2023-11-19T02:31:20"/>
    <s v="Customer_5"/>
    <x v="0"/>
    <s v="Main Course"/>
    <x v="0"/>
    <n v="1"/>
    <n v="259"/>
    <x v="833"/>
    <n v="2"/>
    <x v="4"/>
  </r>
  <r>
    <n v="2063"/>
    <x v="1062"/>
    <x v="1062"/>
    <d v="2023-11-19T09:48:29"/>
    <s v="Customer_290"/>
    <x v="1"/>
    <s v="Asian"/>
    <x v="6"/>
    <n v="4"/>
    <n v="622"/>
    <x v="834"/>
    <n v="9"/>
    <x v="5"/>
  </r>
  <r>
    <n v="2064"/>
    <x v="1063"/>
    <x v="1063"/>
    <d v="2023-11-19T17:05:39"/>
    <s v="Customer_26"/>
    <x v="0"/>
    <s v="Continental"/>
    <x v="8"/>
    <n v="1"/>
    <n v="749"/>
    <x v="835"/>
    <n v="17"/>
    <x v="6"/>
  </r>
  <r>
    <n v="2065"/>
    <x v="1064"/>
    <x v="1064"/>
    <d v="2023-11-20T00:22:49"/>
    <s v="Customer_255"/>
    <x v="1"/>
    <s v="Asian"/>
    <x v="9"/>
    <n v="1"/>
    <n v="689"/>
    <x v="836"/>
    <n v="0"/>
    <x v="0"/>
  </r>
  <r>
    <n v="2066"/>
    <x v="1065"/>
    <x v="1065"/>
    <d v="2023-11-20T07:39:59"/>
    <s v="Customer_147"/>
    <x v="2"/>
    <s v="Continental"/>
    <x v="3"/>
    <n v="4"/>
    <n v="176"/>
    <x v="837"/>
    <n v="7"/>
    <x v="1"/>
  </r>
  <r>
    <n v="2067"/>
    <x v="1066"/>
    <x v="1066"/>
    <d v="2023-11-20T14:57:09"/>
    <s v="Customer_118"/>
    <x v="3"/>
    <s v="Healthy"/>
    <x v="3"/>
    <n v="4"/>
    <n v="608"/>
    <x v="838"/>
    <n v="14"/>
    <x v="2"/>
  </r>
  <r>
    <n v="2068"/>
    <x v="1067"/>
    <x v="1067"/>
    <d v="2023-11-20T22:14:19"/>
    <s v="Customer_181"/>
    <x v="0"/>
    <s v="Healthy"/>
    <x v="8"/>
    <n v="5"/>
    <n v="540"/>
    <x v="839"/>
    <n v="22"/>
    <x v="3"/>
  </r>
  <r>
    <n v="2069"/>
    <x v="1068"/>
    <x v="1068"/>
    <d v="2023-11-21T05:31:29"/>
    <s v="Customer_113"/>
    <x v="2"/>
    <s v="Continental"/>
    <x v="4"/>
    <n v="1"/>
    <n v="353"/>
    <x v="840"/>
    <n v="5"/>
    <x v="4"/>
  </r>
  <r>
    <n v="2070"/>
    <x v="1069"/>
    <x v="1069"/>
    <d v="2023-11-21T12:48:38"/>
    <s v="Customer_98"/>
    <x v="2"/>
    <s v="Asian"/>
    <x v="5"/>
    <n v="1"/>
    <n v="869"/>
    <x v="841"/>
    <n v="12"/>
    <x v="5"/>
  </r>
  <r>
    <n v="2071"/>
    <x v="1070"/>
    <x v="1070"/>
    <d v="2023-11-21T20:05:48"/>
    <s v="Customer_129"/>
    <x v="0"/>
    <s v="Main Course"/>
    <x v="0"/>
    <n v="5"/>
    <n v="419"/>
    <x v="842"/>
    <n v="20"/>
    <x v="6"/>
  </r>
  <r>
    <n v="2072"/>
    <x v="1071"/>
    <x v="1071"/>
    <d v="2023-11-22T03:22:58"/>
    <s v="Customer_71"/>
    <x v="0"/>
    <s v="Continental"/>
    <x v="4"/>
    <n v="3"/>
    <n v="902"/>
    <x v="843"/>
    <n v="3"/>
    <x v="0"/>
  </r>
  <r>
    <n v="2073"/>
    <x v="1072"/>
    <x v="1072"/>
    <d v="2023-11-22T10:40:08"/>
    <s v="Customer_50"/>
    <x v="2"/>
    <s v="Continental"/>
    <x v="8"/>
    <n v="3"/>
    <n v="362"/>
    <x v="793"/>
    <n v="10"/>
    <x v="1"/>
  </r>
  <r>
    <n v="2074"/>
    <x v="1073"/>
    <x v="1073"/>
    <d v="2023-11-22T17:57:18"/>
    <s v="Customer_21"/>
    <x v="0"/>
    <s v="Continental"/>
    <x v="6"/>
    <n v="3"/>
    <n v="696"/>
    <x v="844"/>
    <n v="17"/>
    <x v="2"/>
  </r>
  <r>
    <n v="2075"/>
    <x v="1074"/>
    <x v="1074"/>
    <d v="2023-11-23T01:14:28"/>
    <s v="Customer_159"/>
    <x v="0"/>
    <s v="Asian"/>
    <x v="5"/>
    <n v="5"/>
    <n v="757"/>
    <x v="845"/>
    <n v="1"/>
    <x v="3"/>
  </r>
  <r>
    <n v="2076"/>
    <x v="1075"/>
    <x v="1075"/>
    <d v="2023-11-23T08:31:38"/>
    <s v="Customer_226"/>
    <x v="3"/>
    <s v="Main Course"/>
    <x v="5"/>
    <n v="1"/>
    <n v="934"/>
    <x v="846"/>
    <n v="8"/>
    <x v="4"/>
  </r>
  <r>
    <n v="2077"/>
    <x v="1076"/>
    <x v="1076"/>
    <d v="2023-11-23T15:48:47"/>
    <s v="Customer_18"/>
    <x v="3"/>
    <s v="Asian"/>
    <x v="4"/>
    <n v="5"/>
    <n v="653"/>
    <x v="847"/>
    <n v="15"/>
    <x v="5"/>
  </r>
  <r>
    <n v="2078"/>
    <x v="1077"/>
    <x v="1077"/>
    <d v="2023-11-23T23:05:57"/>
    <s v="Customer_297"/>
    <x v="0"/>
    <s v="Fast Food"/>
    <x v="6"/>
    <n v="5"/>
    <n v="473"/>
    <x v="848"/>
    <n v="23"/>
    <x v="6"/>
  </r>
  <r>
    <n v="2079"/>
    <x v="1078"/>
    <x v="1078"/>
    <d v="2023-11-24T06:23:07"/>
    <s v="Customer_187"/>
    <x v="2"/>
    <s v="Fast Food"/>
    <x v="9"/>
    <n v="3"/>
    <n v="736"/>
    <x v="849"/>
    <n v="6"/>
    <x v="0"/>
  </r>
  <r>
    <n v="2080"/>
    <x v="1079"/>
    <x v="1079"/>
    <d v="2023-11-24T13:40:17"/>
    <s v="Customer_68"/>
    <x v="1"/>
    <s v="Continental"/>
    <x v="8"/>
    <n v="2"/>
    <n v="266"/>
    <x v="827"/>
    <n v="13"/>
    <x v="1"/>
  </r>
  <r>
    <n v="2081"/>
    <x v="1080"/>
    <x v="1080"/>
    <d v="2023-11-24T20:57:27"/>
    <s v="Customer_47"/>
    <x v="0"/>
    <s v="Continental"/>
    <x v="2"/>
    <n v="1"/>
    <n v="852"/>
    <x v="669"/>
    <n v="20"/>
    <x v="2"/>
  </r>
  <r>
    <n v="2082"/>
    <x v="1081"/>
    <x v="1081"/>
    <d v="2023-11-25T04:14:37"/>
    <s v="Customer_152"/>
    <x v="0"/>
    <s v="Continental"/>
    <x v="4"/>
    <n v="3"/>
    <n v="558"/>
    <x v="850"/>
    <n v="4"/>
    <x v="3"/>
  </r>
  <r>
    <n v="2083"/>
    <x v="1082"/>
    <x v="1082"/>
    <d v="2023-11-25T11:31:47"/>
    <s v="Customer_168"/>
    <x v="1"/>
    <s v="Main Course"/>
    <x v="8"/>
    <n v="2"/>
    <n v="379"/>
    <x v="851"/>
    <n v="11"/>
    <x v="4"/>
  </r>
  <r>
    <n v="2084"/>
    <x v="1083"/>
    <x v="1083"/>
    <d v="2023-11-25T18:48:56"/>
    <s v="Customer_213"/>
    <x v="1"/>
    <s v="Main Course"/>
    <x v="9"/>
    <n v="2"/>
    <n v="799"/>
    <x v="317"/>
    <n v="18"/>
    <x v="5"/>
  </r>
  <r>
    <n v="2085"/>
    <x v="1084"/>
    <x v="1084"/>
    <d v="2023-11-26T02:06:06"/>
    <s v="Customer_90"/>
    <x v="1"/>
    <s v="Continental"/>
    <x v="7"/>
    <n v="4"/>
    <n v="401"/>
    <x v="852"/>
    <n v="2"/>
    <x v="6"/>
  </r>
  <r>
    <n v="2086"/>
    <x v="1085"/>
    <x v="1085"/>
    <d v="2023-11-26T09:23:16"/>
    <s v="Customer_103"/>
    <x v="3"/>
    <s v="Main Course"/>
    <x v="0"/>
    <n v="1"/>
    <n v="630"/>
    <x v="853"/>
    <n v="9"/>
    <x v="0"/>
  </r>
  <r>
    <n v="2087"/>
    <x v="1086"/>
    <x v="1086"/>
    <d v="2023-11-26T16:40:26"/>
    <s v="Customer_68"/>
    <x v="3"/>
    <s v="Healthy"/>
    <x v="1"/>
    <n v="2"/>
    <n v="679"/>
    <x v="854"/>
    <n v="16"/>
    <x v="1"/>
  </r>
  <r>
    <n v="2088"/>
    <x v="1087"/>
    <x v="1087"/>
    <d v="2023-11-26T23:57:36"/>
    <s v="Customer_277"/>
    <x v="3"/>
    <s v="Continental"/>
    <x v="2"/>
    <n v="3"/>
    <n v="317"/>
    <x v="675"/>
    <n v="23"/>
    <x v="2"/>
  </r>
  <r>
    <n v="2089"/>
    <x v="1088"/>
    <x v="1088"/>
    <d v="2023-11-27T07:14:46"/>
    <s v="Customer_188"/>
    <x v="2"/>
    <s v="Healthy"/>
    <x v="1"/>
    <n v="4"/>
    <n v="201"/>
    <x v="66"/>
    <n v="7"/>
    <x v="3"/>
  </r>
  <r>
    <n v="2090"/>
    <x v="1089"/>
    <x v="1089"/>
    <d v="2023-11-27T14:31:56"/>
    <s v="Customer_272"/>
    <x v="0"/>
    <s v="Asian"/>
    <x v="1"/>
    <n v="1"/>
    <n v="653"/>
    <x v="855"/>
    <n v="14"/>
    <x v="4"/>
  </r>
  <r>
    <n v="2091"/>
    <x v="1090"/>
    <x v="1090"/>
    <d v="2023-11-27T21:49:05"/>
    <s v="Customer_257"/>
    <x v="3"/>
    <s v="Healthy"/>
    <x v="6"/>
    <n v="5"/>
    <n v="387"/>
    <x v="856"/>
    <n v="21"/>
    <x v="5"/>
  </r>
  <r>
    <n v="2092"/>
    <x v="1091"/>
    <x v="1091"/>
    <d v="2023-11-28T05:06:15"/>
    <s v="Customer_140"/>
    <x v="2"/>
    <s v="Asian"/>
    <x v="4"/>
    <n v="3"/>
    <n v="266"/>
    <x v="857"/>
    <n v="5"/>
    <x v="6"/>
  </r>
  <r>
    <n v="2093"/>
    <x v="1092"/>
    <x v="1092"/>
    <d v="2023-11-28T12:23:25"/>
    <s v="Customer_85"/>
    <x v="2"/>
    <s v="Asian"/>
    <x v="5"/>
    <n v="2"/>
    <n v="720"/>
    <x v="270"/>
    <n v="12"/>
    <x v="0"/>
  </r>
  <r>
    <n v="2094"/>
    <x v="1093"/>
    <x v="1093"/>
    <d v="2023-11-28T19:40:35"/>
    <s v="Customer_132"/>
    <x v="1"/>
    <s v="Continental"/>
    <x v="8"/>
    <n v="2"/>
    <n v="135"/>
    <x v="858"/>
    <n v="19"/>
    <x v="1"/>
  </r>
  <r>
    <n v="2095"/>
    <x v="1094"/>
    <x v="1094"/>
    <d v="2023-11-29T02:57:45"/>
    <s v="Customer_247"/>
    <x v="1"/>
    <s v="Continental"/>
    <x v="7"/>
    <n v="3"/>
    <n v="843"/>
    <x v="698"/>
    <n v="2"/>
    <x v="2"/>
  </r>
  <r>
    <n v="2096"/>
    <x v="1095"/>
    <x v="1095"/>
    <d v="2023-11-29T10:14:55"/>
    <s v="Customer_152"/>
    <x v="3"/>
    <s v="Asian"/>
    <x v="7"/>
    <n v="2"/>
    <n v="840"/>
    <x v="859"/>
    <n v="10"/>
    <x v="3"/>
  </r>
  <r>
    <n v="2097"/>
    <x v="1096"/>
    <x v="1096"/>
    <d v="2023-11-29T17:32:05"/>
    <s v="Customer_174"/>
    <x v="0"/>
    <s v="Main Course"/>
    <x v="5"/>
    <n v="4"/>
    <n v="452"/>
    <x v="860"/>
    <n v="17"/>
    <x v="4"/>
  </r>
  <r>
    <n v="2098"/>
    <x v="1097"/>
    <x v="1097"/>
    <d v="2023-11-30T00:49:14"/>
    <s v="Customer_59"/>
    <x v="0"/>
    <s v="Fast Food"/>
    <x v="0"/>
    <n v="1"/>
    <n v="775"/>
    <x v="626"/>
    <n v="0"/>
    <x v="5"/>
  </r>
  <r>
    <n v="2099"/>
    <x v="1098"/>
    <x v="1098"/>
    <d v="2023-11-30T08:06:24"/>
    <s v="Customer_240"/>
    <x v="0"/>
    <s v="Healthy"/>
    <x v="5"/>
    <n v="4"/>
    <n v="998"/>
    <x v="861"/>
    <n v="8"/>
    <x v="6"/>
  </r>
  <r>
    <n v="2100"/>
    <x v="1099"/>
    <x v="1099"/>
    <d v="2023-11-30T15:23:34"/>
    <s v="Customer_39"/>
    <x v="2"/>
    <s v="Asian"/>
    <x v="6"/>
    <n v="2"/>
    <n v="172"/>
    <x v="169"/>
    <n v="15"/>
    <x v="0"/>
  </r>
  <r>
    <n v="2101"/>
    <x v="1100"/>
    <x v="1100"/>
    <d v="2023-11-30T22:40:44"/>
    <s v="Customer_73"/>
    <x v="2"/>
    <s v="Fast Food"/>
    <x v="2"/>
    <n v="5"/>
    <n v="747"/>
    <x v="862"/>
    <n v="22"/>
    <x v="1"/>
  </r>
  <r>
    <n v="2102"/>
    <x v="1101"/>
    <x v="1101"/>
    <d v="2023-12-01T05:57:54"/>
    <s v="Customer_116"/>
    <x v="2"/>
    <s v="Continental"/>
    <x v="2"/>
    <n v="1"/>
    <n v="452"/>
    <x v="534"/>
    <n v="5"/>
    <x v="2"/>
  </r>
  <r>
    <n v="2103"/>
    <x v="1102"/>
    <x v="1102"/>
    <d v="2023-12-01T13:15:04"/>
    <s v="Customer_204"/>
    <x v="2"/>
    <s v="Continental"/>
    <x v="0"/>
    <n v="1"/>
    <n v="990"/>
    <x v="615"/>
    <n v="13"/>
    <x v="3"/>
  </r>
  <r>
    <n v="2104"/>
    <x v="1103"/>
    <x v="1103"/>
    <d v="2023-12-01T20:32:14"/>
    <s v="Customer_286"/>
    <x v="0"/>
    <s v="Asian"/>
    <x v="4"/>
    <n v="3"/>
    <n v="169"/>
    <x v="863"/>
    <n v="20"/>
    <x v="4"/>
  </r>
  <r>
    <n v="2105"/>
    <x v="1104"/>
    <x v="1104"/>
    <d v="2023-12-02T03:49:23"/>
    <s v="Customer_188"/>
    <x v="0"/>
    <s v="Main Course"/>
    <x v="6"/>
    <n v="3"/>
    <n v="524"/>
    <x v="375"/>
    <n v="3"/>
    <x v="5"/>
  </r>
  <r>
    <n v="2106"/>
    <x v="1105"/>
    <x v="1105"/>
    <d v="2023-12-02T11:06:33"/>
    <s v="Customer_47"/>
    <x v="1"/>
    <s v="Asian"/>
    <x v="4"/>
    <n v="5"/>
    <n v="807"/>
    <x v="864"/>
    <n v="11"/>
    <x v="6"/>
  </r>
  <r>
    <n v="2107"/>
    <x v="1106"/>
    <x v="1106"/>
    <d v="2023-12-02T18:23:43"/>
    <s v="Customer_203"/>
    <x v="0"/>
    <s v="Healthy"/>
    <x v="3"/>
    <n v="1"/>
    <n v="880"/>
    <x v="250"/>
    <n v="18"/>
    <x v="0"/>
  </r>
  <r>
    <n v="2108"/>
    <x v="1107"/>
    <x v="1107"/>
    <d v="2023-12-03T01:40:53"/>
    <s v="Customer_8"/>
    <x v="2"/>
    <s v="Fast Food"/>
    <x v="1"/>
    <n v="5"/>
    <n v="660"/>
    <x v="865"/>
    <n v="1"/>
    <x v="1"/>
  </r>
  <r>
    <n v="2109"/>
    <x v="1108"/>
    <x v="1108"/>
    <d v="2023-12-03T08:58:03"/>
    <s v="Customer_136"/>
    <x v="2"/>
    <s v="Main Course"/>
    <x v="6"/>
    <n v="3"/>
    <n v="927"/>
    <x v="866"/>
    <n v="8"/>
    <x v="2"/>
  </r>
  <r>
    <n v="2110"/>
    <x v="1109"/>
    <x v="1109"/>
    <d v="2023-12-03T16:15:13"/>
    <s v="Customer_275"/>
    <x v="3"/>
    <s v="Asian"/>
    <x v="8"/>
    <n v="3"/>
    <n v="741"/>
    <x v="655"/>
    <n v="16"/>
    <x v="3"/>
  </r>
  <r>
    <n v="2111"/>
    <x v="1110"/>
    <x v="1110"/>
    <d v="2023-12-03T23:32:23"/>
    <s v="Customer_64"/>
    <x v="0"/>
    <s v="Healthy"/>
    <x v="0"/>
    <n v="1"/>
    <n v="616"/>
    <x v="689"/>
    <n v="23"/>
    <x v="4"/>
  </r>
  <r>
    <n v="2112"/>
    <x v="1111"/>
    <x v="1111"/>
    <d v="2023-12-04T06:49:32"/>
    <s v="Customer_233"/>
    <x v="0"/>
    <s v="Healthy"/>
    <x v="9"/>
    <n v="4"/>
    <n v="527"/>
    <x v="867"/>
    <n v="6"/>
    <x v="5"/>
  </r>
  <r>
    <n v="2113"/>
    <x v="1112"/>
    <x v="1112"/>
    <d v="2023-12-04T14:06:42"/>
    <s v="Customer_189"/>
    <x v="1"/>
    <s v="Main Course"/>
    <x v="1"/>
    <n v="2"/>
    <n v="638"/>
    <x v="868"/>
    <n v="14"/>
    <x v="6"/>
  </r>
  <r>
    <n v="2114"/>
    <x v="1113"/>
    <x v="1113"/>
    <d v="2023-12-04T21:23:52"/>
    <s v="Customer_135"/>
    <x v="1"/>
    <s v="Healthy"/>
    <x v="5"/>
    <n v="3"/>
    <n v="259"/>
    <x v="869"/>
    <n v="21"/>
    <x v="0"/>
  </r>
  <r>
    <n v="2115"/>
    <x v="1114"/>
    <x v="1114"/>
    <d v="2023-12-05T04:41:02"/>
    <s v="Customer_300"/>
    <x v="2"/>
    <s v="Healthy"/>
    <x v="7"/>
    <n v="3"/>
    <n v="248"/>
    <x v="540"/>
    <n v="4"/>
    <x v="1"/>
  </r>
  <r>
    <n v="2116"/>
    <x v="1115"/>
    <x v="1115"/>
    <d v="2023-12-05T11:58:12"/>
    <s v="Customer_196"/>
    <x v="3"/>
    <s v="Healthy"/>
    <x v="5"/>
    <n v="4"/>
    <n v="875"/>
    <x v="870"/>
    <n v="11"/>
    <x v="2"/>
  </r>
  <r>
    <n v="2117"/>
    <x v="1116"/>
    <x v="1116"/>
    <d v="2023-12-05T19:15:22"/>
    <s v="Customer_191"/>
    <x v="0"/>
    <s v="Healthy"/>
    <x v="7"/>
    <n v="4"/>
    <n v="329"/>
    <x v="871"/>
    <n v="19"/>
    <x v="3"/>
  </r>
  <r>
    <n v="2118"/>
    <x v="1117"/>
    <x v="1117"/>
    <d v="2023-12-06T02:32:32"/>
    <s v="Customer_56"/>
    <x v="0"/>
    <s v="Asian"/>
    <x v="5"/>
    <n v="5"/>
    <n v="811"/>
    <x v="872"/>
    <n v="2"/>
    <x v="4"/>
  </r>
  <r>
    <n v="2119"/>
    <x v="1118"/>
    <x v="1118"/>
    <d v="2023-12-06T09:49:41"/>
    <s v="Customer_120"/>
    <x v="3"/>
    <s v="Main Course"/>
    <x v="0"/>
    <n v="5"/>
    <n v="661"/>
    <x v="873"/>
    <n v="9"/>
    <x v="5"/>
  </r>
  <r>
    <n v="2120"/>
    <x v="1119"/>
    <x v="1119"/>
    <d v="2023-12-06T17:06:51"/>
    <s v="Customer_242"/>
    <x v="0"/>
    <s v="Fast Food"/>
    <x v="2"/>
    <n v="2"/>
    <n v="166"/>
    <x v="352"/>
    <n v="17"/>
    <x v="6"/>
  </r>
  <r>
    <n v="2121"/>
    <x v="1120"/>
    <x v="1120"/>
    <d v="2023-12-07T00:24:01"/>
    <s v="Customer_13"/>
    <x v="1"/>
    <s v="Fast Food"/>
    <x v="7"/>
    <n v="2"/>
    <n v="911"/>
    <x v="874"/>
    <n v="0"/>
    <x v="0"/>
  </r>
  <r>
    <n v="2122"/>
    <x v="1121"/>
    <x v="1121"/>
    <d v="2023-12-07T07:41:11"/>
    <s v="Customer_288"/>
    <x v="3"/>
    <s v="Healthy"/>
    <x v="5"/>
    <n v="1"/>
    <n v="480"/>
    <x v="198"/>
    <n v="7"/>
    <x v="1"/>
  </r>
  <r>
    <n v="2123"/>
    <x v="1122"/>
    <x v="1122"/>
    <d v="2023-12-07T14:58:21"/>
    <s v="Customer_168"/>
    <x v="0"/>
    <s v="Asian"/>
    <x v="0"/>
    <n v="5"/>
    <n v="157"/>
    <x v="875"/>
    <n v="14"/>
    <x v="2"/>
  </r>
  <r>
    <n v="2124"/>
    <x v="1123"/>
    <x v="1123"/>
    <d v="2023-12-07T22:15:31"/>
    <s v="Customer_114"/>
    <x v="1"/>
    <s v="Healthy"/>
    <x v="5"/>
    <n v="3"/>
    <n v="358"/>
    <x v="228"/>
    <n v="22"/>
    <x v="3"/>
  </r>
  <r>
    <n v="2125"/>
    <x v="1124"/>
    <x v="1124"/>
    <d v="2023-12-08T05:32:41"/>
    <s v="Customer_33"/>
    <x v="1"/>
    <s v="Healthy"/>
    <x v="6"/>
    <n v="5"/>
    <n v="441"/>
    <x v="876"/>
    <n v="5"/>
    <x v="4"/>
  </r>
  <r>
    <n v="2126"/>
    <x v="1125"/>
    <x v="1125"/>
    <d v="2023-12-08T12:49:50"/>
    <s v="Customer_238"/>
    <x v="2"/>
    <s v="Asian"/>
    <x v="0"/>
    <n v="3"/>
    <n v="937"/>
    <x v="877"/>
    <n v="12"/>
    <x v="5"/>
  </r>
  <r>
    <n v="2127"/>
    <x v="1126"/>
    <x v="1126"/>
    <d v="2023-12-08T20:07:00"/>
    <s v="Customer_155"/>
    <x v="0"/>
    <s v="Continental"/>
    <x v="3"/>
    <n v="4"/>
    <n v="229"/>
    <x v="564"/>
    <n v="20"/>
    <x v="6"/>
  </r>
  <r>
    <n v="2128"/>
    <x v="1127"/>
    <x v="1127"/>
    <d v="2023-12-09T03:24:10"/>
    <s v="Customer_210"/>
    <x v="3"/>
    <s v="Main Course"/>
    <x v="1"/>
    <n v="5"/>
    <n v="826"/>
    <x v="878"/>
    <n v="3"/>
    <x v="0"/>
  </r>
  <r>
    <n v="2129"/>
    <x v="1128"/>
    <x v="1128"/>
    <d v="2023-12-09T10:41:20"/>
    <s v="Customer_60"/>
    <x v="1"/>
    <s v="Fast Food"/>
    <x v="6"/>
    <n v="4"/>
    <n v="271"/>
    <x v="63"/>
    <n v="10"/>
    <x v="1"/>
  </r>
  <r>
    <n v="2130"/>
    <x v="1129"/>
    <x v="1129"/>
    <d v="2023-12-09T17:58:30"/>
    <s v="Customer_72"/>
    <x v="1"/>
    <s v="Asian"/>
    <x v="3"/>
    <n v="2"/>
    <n v="869"/>
    <x v="879"/>
    <n v="17"/>
    <x v="2"/>
  </r>
  <r>
    <n v="2131"/>
    <x v="1130"/>
    <x v="1130"/>
    <d v="2023-12-10T01:15:40"/>
    <s v="Customer_24"/>
    <x v="2"/>
    <s v="Fast Food"/>
    <x v="4"/>
    <n v="2"/>
    <n v="713"/>
    <x v="724"/>
    <n v="1"/>
    <x v="3"/>
  </r>
  <r>
    <n v="2132"/>
    <x v="1131"/>
    <x v="1131"/>
    <d v="2023-12-10T08:32:50"/>
    <s v="Customer_20"/>
    <x v="3"/>
    <s v="Asian"/>
    <x v="2"/>
    <n v="1"/>
    <n v="308"/>
    <x v="880"/>
    <n v="8"/>
    <x v="4"/>
  </r>
  <r>
    <n v="2133"/>
    <x v="1132"/>
    <x v="1132"/>
    <d v="2023-12-10T15:49:59"/>
    <s v="Customer_156"/>
    <x v="2"/>
    <s v="Asian"/>
    <x v="3"/>
    <n v="5"/>
    <n v="902"/>
    <x v="881"/>
    <n v="15"/>
    <x v="5"/>
  </r>
  <r>
    <n v="2134"/>
    <x v="1133"/>
    <x v="1133"/>
    <d v="2023-12-10T23:07:09"/>
    <s v="Customer_253"/>
    <x v="1"/>
    <s v="Continental"/>
    <x v="3"/>
    <n v="4"/>
    <n v="453"/>
    <x v="20"/>
    <n v="23"/>
    <x v="6"/>
  </r>
  <r>
    <n v="2135"/>
    <x v="1134"/>
    <x v="1134"/>
    <d v="2023-12-11T06:24:19"/>
    <s v="Customer_60"/>
    <x v="0"/>
    <s v="Healthy"/>
    <x v="6"/>
    <n v="3"/>
    <n v="570"/>
    <x v="882"/>
    <n v="6"/>
    <x v="0"/>
  </r>
  <r>
    <n v="2136"/>
    <x v="1135"/>
    <x v="1135"/>
    <d v="2023-12-11T13:41:29"/>
    <s v="Customer_50"/>
    <x v="3"/>
    <s v="Main Course"/>
    <x v="8"/>
    <n v="2"/>
    <n v="897"/>
    <x v="883"/>
    <n v="13"/>
    <x v="1"/>
  </r>
  <r>
    <n v="2137"/>
    <x v="1136"/>
    <x v="1136"/>
    <d v="2023-12-11T20:58:39"/>
    <s v="Customer_121"/>
    <x v="0"/>
    <s v="Continental"/>
    <x v="3"/>
    <n v="2"/>
    <n v="215"/>
    <x v="498"/>
    <n v="20"/>
    <x v="2"/>
  </r>
  <r>
    <n v="2138"/>
    <x v="1137"/>
    <x v="1137"/>
    <d v="2023-12-12T04:15:49"/>
    <s v="Customer_276"/>
    <x v="0"/>
    <s v="Fast Food"/>
    <x v="7"/>
    <n v="3"/>
    <n v="363"/>
    <x v="884"/>
    <n v="4"/>
    <x v="3"/>
  </r>
  <r>
    <n v="2139"/>
    <x v="1138"/>
    <x v="1138"/>
    <d v="2023-12-12T11:32:59"/>
    <s v="Customer_70"/>
    <x v="2"/>
    <s v="Main Course"/>
    <x v="0"/>
    <n v="4"/>
    <n v="761"/>
    <x v="885"/>
    <n v="11"/>
    <x v="4"/>
  </r>
  <r>
    <n v="2140"/>
    <x v="1139"/>
    <x v="1139"/>
    <d v="2023-12-12T18:50:09"/>
    <s v="Customer_199"/>
    <x v="1"/>
    <s v="Healthy"/>
    <x v="7"/>
    <n v="4"/>
    <n v="911"/>
    <x v="551"/>
    <n v="18"/>
    <x v="5"/>
  </r>
  <r>
    <n v="2141"/>
    <x v="1140"/>
    <x v="1140"/>
    <d v="2023-12-13T02:07:18"/>
    <s v="Customer_233"/>
    <x v="0"/>
    <s v="Continental"/>
    <x v="1"/>
    <n v="5"/>
    <n v="541"/>
    <x v="886"/>
    <n v="2"/>
    <x v="6"/>
  </r>
  <r>
    <n v="2142"/>
    <x v="1141"/>
    <x v="1141"/>
    <d v="2023-12-13T09:24:28"/>
    <s v="Customer_190"/>
    <x v="3"/>
    <s v="Asian"/>
    <x v="4"/>
    <n v="5"/>
    <n v="647"/>
    <x v="887"/>
    <n v="9"/>
    <x v="0"/>
  </r>
  <r>
    <n v="2143"/>
    <x v="1142"/>
    <x v="1142"/>
    <d v="2023-12-13T16:41:38"/>
    <s v="Customer_277"/>
    <x v="2"/>
    <s v="Fast Food"/>
    <x v="4"/>
    <n v="1"/>
    <n v="552"/>
    <x v="142"/>
    <n v="16"/>
    <x v="1"/>
  </r>
  <r>
    <n v="2144"/>
    <x v="1143"/>
    <x v="1143"/>
    <d v="2023-12-13T23:58:48"/>
    <s v="Customer_215"/>
    <x v="3"/>
    <s v="Continental"/>
    <x v="2"/>
    <n v="2"/>
    <n v="944"/>
    <x v="888"/>
    <n v="23"/>
    <x v="2"/>
  </r>
  <r>
    <n v="2145"/>
    <x v="1144"/>
    <x v="1144"/>
    <d v="2023-12-14T07:15:58"/>
    <s v="Customer_80"/>
    <x v="0"/>
    <s v="Continental"/>
    <x v="1"/>
    <n v="5"/>
    <n v="576"/>
    <x v="889"/>
    <n v="7"/>
    <x v="3"/>
  </r>
  <r>
    <n v="2146"/>
    <x v="1145"/>
    <x v="1145"/>
    <d v="2023-12-14T14:33:08"/>
    <s v="Customer_213"/>
    <x v="3"/>
    <s v="Main Course"/>
    <x v="2"/>
    <n v="4"/>
    <n v="386"/>
    <x v="890"/>
    <n v="14"/>
    <x v="4"/>
  </r>
  <r>
    <n v="2147"/>
    <x v="1146"/>
    <x v="1146"/>
    <d v="2023-12-14T21:50:18"/>
    <s v="Customer_51"/>
    <x v="2"/>
    <s v="Fast Food"/>
    <x v="5"/>
    <n v="3"/>
    <n v="402"/>
    <x v="614"/>
    <n v="21"/>
    <x v="5"/>
  </r>
  <r>
    <n v="2148"/>
    <x v="1147"/>
    <x v="1147"/>
    <d v="2023-12-15T05:07:27"/>
    <s v="Customer_251"/>
    <x v="2"/>
    <s v="Fast Food"/>
    <x v="5"/>
    <n v="4"/>
    <n v="410"/>
    <x v="623"/>
    <n v="5"/>
    <x v="6"/>
  </r>
  <r>
    <n v="2149"/>
    <x v="1148"/>
    <x v="1148"/>
    <d v="2023-12-15T12:24:37"/>
    <s v="Customer_209"/>
    <x v="1"/>
    <s v="Fast Food"/>
    <x v="8"/>
    <n v="2"/>
    <n v="307"/>
    <x v="891"/>
    <n v="12"/>
    <x v="0"/>
  </r>
  <r>
    <n v="2150"/>
    <x v="1149"/>
    <x v="1149"/>
    <d v="2023-12-15T19:41:47"/>
    <s v="Customer_144"/>
    <x v="3"/>
    <s v="Main Course"/>
    <x v="0"/>
    <n v="4"/>
    <n v="717"/>
    <x v="892"/>
    <n v="19"/>
    <x v="1"/>
  </r>
  <r>
    <n v="2151"/>
    <x v="1150"/>
    <x v="1150"/>
    <d v="2023-12-16T02:58:57"/>
    <s v="Customer_17"/>
    <x v="2"/>
    <s v="Fast Food"/>
    <x v="4"/>
    <n v="1"/>
    <n v="545"/>
    <x v="628"/>
    <n v="2"/>
    <x v="2"/>
  </r>
  <r>
    <n v="2152"/>
    <x v="1151"/>
    <x v="1151"/>
    <d v="2023-12-16T10:16:07"/>
    <s v="Customer_190"/>
    <x v="2"/>
    <s v="Main Course"/>
    <x v="0"/>
    <n v="2"/>
    <n v="769"/>
    <x v="893"/>
    <n v="10"/>
    <x v="3"/>
  </r>
  <r>
    <n v="2153"/>
    <x v="1152"/>
    <x v="1152"/>
    <d v="2023-12-16T17:33:17"/>
    <s v="Customer_112"/>
    <x v="1"/>
    <s v="Asian"/>
    <x v="7"/>
    <n v="3"/>
    <n v="732"/>
    <x v="894"/>
    <n v="17"/>
    <x v="4"/>
  </r>
  <r>
    <n v="2154"/>
    <x v="1153"/>
    <x v="1153"/>
    <d v="2023-12-17T00:50:27"/>
    <s v="Customer_228"/>
    <x v="2"/>
    <s v="Main Course"/>
    <x v="1"/>
    <n v="1"/>
    <n v="154"/>
    <x v="895"/>
    <n v="0"/>
    <x v="5"/>
  </r>
  <r>
    <n v="2155"/>
    <x v="1154"/>
    <x v="1154"/>
    <d v="2023-12-17T08:07:36"/>
    <s v="Customer_228"/>
    <x v="0"/>
    <s v="Healthy"/>
    <x v="2"/>
    <n v="2"/>
    <n v="111"/>
    <x v="664"/>
    <n v="8"/>
    <x v="6"/>
  </r>
  <r>
    <n v="2156"/>
    <x v="1155"/>
    <x v="1155"/>
    <d v="2023-12-17T15:24:46"/>
    <s v="Customer_121"/>
    <x v="3"/>
    <s v="Fast Food"/>
    <x v="7"/>
    <n v="3"/>
    <n v="756"/>
    <x v="896"/>
    <n v="15"/>
    <x v="0"/>
  </r>
  <r>
    <n v="2157"/>
    <x v="1156"/>
    <x v="1156"/>
    <d v="2023-12-17T22:41:56"/>
    <s v="Customer_186"/>
    <x v="1"/>
    <s v="Healthy"/>
    <x v="5"/>
    <n v="1"/>
    <n v="499"/>
    <x v="897"/>
    <n v="22"/>
    <x v="1"/>
  </r>
  <r>
    <n v="2158"/>
    <x v="1157"/>
    <x v="1157"/>
    <d v="2023-12-18T05:59:06"/>
    <s v="Customer_51"/>
    <x v="0"/>
    <s v="Healthy"/>
    <x v="9"/>
    <n v="1"/>
    <n v="747"/>
    <x v="898"/>
    <n v="5"/>
    <x v="2"/>
  </r>
  <r>
    <n v="2159"/>
    <x v="1158"/>
    <x v="1158"/>
    <d v="2023-12-18T13:16:16"/>
    <s v="Customer_189"/>
    <x v="0"/>
    <s v="Asian"/>
    <x v="3"/>
    <n v="2"/>
    <n v="614"/>
    <x v="899"/>
    <n v="13"/>
    <x v="3"/>
  </r>
  <r>
    <n v="2160"/>
    <x v="1159"/>
    <x v="1159"/>
    <d v="2023-12-18T20:33:26"/>
    <s v="Customer_279"/>
    <x v="3"/>
    <s v="Continental"/>
    <x v="2"/>
    <n v="5"/>
    <n v="755"/>
    <x v="900"/>
    <n v="20"/>
    <x v="4"/>
  </r>
  <r>
    <n v="2161"/>
    <x v="1160"/>
    <x v="1160"/>
    <d v="2023-12-19T03:50:36"/>
    <s v="Customer_184"/>
    <x v="1"/>
    <s v="Asian"/>
    <x v="2"/>
    <n v="1"/>
    <n v="641"/>
    <x v="901"/>
    <n v="3"/>
    <x v="5"/>
  </r>
  <r>
    <n v="2162"/>
    <x v="1161"/>
    <x v="1161"/>
    <d v="2023-12-19T11:07:45"/>
    <s v="Customer_32"/>
    <x v="2"/>
    <s v="Main Course"/>
    <x v="4"/>
    <n v="1"/>
    <n v="336"/>
    <x v="595"/>
    <n v="11"/>
    <x v="6"/>
  </r>
  <r>
    <n v="2163"/>
    <x v="1162"/>
    <x v="1162"/>
    <d v="2023-12-19T18:24:55"/>
    <s v="Customer_204"/>
    <x v="1"/>
    <s v="Main Course"/>
    <x v="6"/>
    <n v="3"/>
    <n v="378"/>
    <x v="902"/>
    <n v="18"/>
    <x v="0"/>
  </r>
  <r>
    <n v="2164"/>
    <x v="1163"/>
    <x v="1163"/>
    <d v="2023-12-20T01:42:05"/>
    <s v="Customer_142"/>
    <x v="2"/>
    <s v="Fast Food"/>
    <x v="0"/>
    <n v="4"/>
    <n v="447"/>
    <x v="738"/>
    <n v="1"/>
    <x v="1"/>
  </r>
  <r>
    <n v="2165"/>
    <x v="1164"/>
    <x v="1164"/>
    <d v="2023-12-20T08:59:15"/>
    <s v="Customer_98"/>
    <x v="3"/>
    <s v="Healthy"/>
    <x v="9"/>
    <n v="2"/>
    <n v="726"/>
    <x v="903"/>
    <n v="8"/>
    <x v="2"/>
  </r>
  <r>
    <n v="2166"/>
    <x v="1165"/>
    <x v="1165"/>
    <d v="2023-12-20T16:16:25"/>
    <s v="Customer_63"/>
    <x v="3"/>
    <s v="Asian"/>
    <x v="4"/>
    <n v="2"/>
    <n v="203"/>
    <x v="904"/>
    <n v="16"/>
    <x v="3"/>
  </r>
  <r>
    <n v="2167"/>
    <x v="1166"/>
    <x v="1166"/>
    <d v="2023-12-20T23:33:35"/>
    <s v="Customer_233"/>
    <x v="0"/>
    <s v="Continental"/>
    <x v="3"/>
    <n v="5"/>
    <n v="729"/>
    <x v="629"/>
    <n v="23"/>
    <x v="4"/>
  </r>
  <r>
    <n v="2168"/>
    <x v="1167"/>
    <x v="1167"/>
    <d v="2023-12-21T06:50:45"/>
    <s v="Customer_47"/>
    <x v="0"/>
    <s v="Asian"/>
    <x v="4"/>
    <n v="5"/>
    <n v="616"/>
    <x v="905"/>
    <n v="6"/>
    <x v="5"/>
  </r>
  <r>
    <n v="2169"/>
    <x v="1168"/>
    <x v="1168"/>
    <d v="2023-12-21T14:07:54"/>
    <s v="Customer_109"/>
    <x v="0"/>
    <s v="Fast Food"/>
    <x v="4"/>
    <n v="2"/>
    <n v="971"/>
    <x v="906"/>
    <n v="14"/>
    <x v="6"/>
  </r>
  <r>
    <n v="2170"/>
    <x v="1169"/>
    <x v="1169"/>
    <d v="2023-12-21T21:25:04"/>
    <s v="Customer_11"/>
    <x v="3"/>
    <s v="Asian"/>
    <x v="4"/>
    <n v="5"/>
    <n v="347"/>
    <x v="907"/>
    <n v="21"/>
    <x v="0"/>
  </r>
  <r>
    <n v="2171"/>
    <x v="1170"/>
    <x v="1170"/>
    <d v="2023-12-22T04:42:14"/>
    <s v="Customer_26"/>
    <x v="2"/>
    <s v="Continental"/>
    <x v="0"/>
    <n v="3"/>
    <n v="463"/>
    <x v="760"/>
    <n v="4"/>
    <x v="1"/>
  </r>
  <r>
    <n v="2172"/>
    <x v="1171"/>
    <x v="1171"/>
    <d v="2023-12-22T11:59:24"/>
    <s v="Customer_171"/>
    <x v="3"/>
    <s v="Continental"/>
    <x v="4"/>
    <n v="2"/>
    <n v="420"/>
    <x v="523"/>
    <n v="11"/>
    <x v="2"/>
  </r>
  <r>
    <n v="2173"/>
    <x v="1172"/>
    <x v="1172"/>
    <d v="2023-12-22T19:16:34"/>
    <s v="Customer_125"/>
    <x v="3"/>
    <s v="Healthy"/>
    <x v="4"/>
    <n v="5"/>
    <n v="732"/>
    <x v="814"/>
    <n v="19"/>
    <x v="3"/>
  </r>
  <r>
    <n v="2174"/>
    <x v="1173"/>
    <x v="1173"/>
    <d v="2023-12-23T02:33:44"/>
    <s v="Customer_65"/>
    <x v="0"/>
    <s v="Healthy"/>
    <x v="4"/>
    <n v="2"/>
    <n v="385"/>
    <x v="908"/>
    <n v="2"/>
    <x v="4"/>
  </r>
  <r>
    <n v="2175"/>
    <x v="1174"/>
    <x v="1174"/>
    <d v="2023-12-23T09:50:54"/>
    <s v="Customer_290"/>
    <x v="1"/>
    <s v="Fast Food"/>
    <x v="4"/>
    <n v="4"/>
    <n v="248"/>
    <x v="727"/>
    <n v="9"/>
    <x v="5"/>
  </r>
  <r>
    <n v="2176"/>
    <x v="1175"/>
    <x v="1175"/>
    <d v="2023-12-23T17:08:03"/>
    <s v="Customer_106"/>
    <x v="0"/>
    <s v="Healthy"/>
    <x v="6"/>
    <n v="1"/>
    <n v="183"/>
    <x v="909"/>
    <n v="17"/>
    <x v="6"/>
  </r>
  <r>
    <n v="2177"/>
    <x v="1176"/>
    <x v="1176"/>
    <d v="2023-12-24T00:25:13"/>
    <s v="Customer_36"/>
    <x v="1"/>
    <s v="Main Course"/>
    <x v="2"/>
    <n v="2"/>
    <n v="505"/>
    <x v="910"/>
    <n v="0"/>
    <x v="0"/>
  </r>
  <r>
    <n v="2178"/>
    <x v="1177"/>
    <x v="1177"/>
    <d v="2023-12-24T07:42:23"/>
    <s v="Customer_284"/>
    <x v="2"/>
    <s v="Healthy"/>
    <x v="9"/>
    <n v="1"/>
    <n v="555"/>
    <x v="911"/>
    <n v="7"/>
    <x v="1"/>
  </r>
  <r>
    <n v="2179"/>
    <x v="1178"/>
    <x v="1178"/>
    <d v="2023-12-24T14:59:33"/>
    <s v="Customer_107"/>
    <x v="2"/>
    <s v="Main Course"/>
    <x v="7"/>
    <n v="5"/>
    <n v="842"/>
    <x v="912"/>
    <n v="14"/>
    <x v="2"/>
  </r>
  <r>
    <n v="2180"/>
    <x v="1179"/>
    <x v="1179"/>
    <d v="2023-12-24T22:16:43"/>
    <s v="Customer_111"/>
    <x v="2"/>
    <s v="Asian"/>
    <x v="7"/>
    <n v="1"/>
    <n v="899"/>
    <x v="400"/>
    <n v="22"/>
    <x v="3"/>
  </r>
  <r>
    <n v="2181"/>
    <x v="1180"/>
    <x v="1180"/>
    <d v="2023-12-25T05:33:53"/>
    <s v="Customer_120"/>
    <x v="0"/>
    <s v="Main Course"/>
    <x v="7"/>
    <n v="2"/>
    <n v="260"/>
    <x v="913"/>
    <n v="5"/>
    <x v="4"/>
  </r>
  <r>
    <n v="2182"/>
    <x v="1181"/>
    <x v="1181"/>
    <d v="2023-12-25T12:51:03"/>
    <s v="Customer_169"/>
    <x v="0"/>
    <s v="Fast Food"/>
    <x v="3"/>
    <n v="4"/>
    <n v="883"/>
    <x v="914"/>
    <n v="12"/>
    <x v="5"/>
  </r>
  <r>
    <n v="2183"/>
    <x v="1182"/>
    <x v="1182"/>
    <d v="2023-12-25T20:08:12"/>
    <s v="Customer_76"/>
    <x v="0"/>
    <s v="Continental"/>
    <x v="6"/>
    <n v="5"/>
    <n v="559"/>
    <x v="915"/>
    <n v="20"/>
    <x v="6"/>
  </r>
  <r>
    <n v="2184"/>
    <x v="1183"/>
    <x v="1183"/>
    <d v="2023-12-26T03:25:22"/>
    <s v="Customer_2"/>
    <x v="3"/>
    <s v="Fast Food"/>
    <x v="8"/>
    <n v="2"/>
    <n v="649"/>
    <x v="916"/>
    <n v="3"/>
    <x v="0"/>
  </r>
  <r>
    <n v="2185"/>
    <x v="1184"/>
    <x v="1184"/>
    <d v="2023-12-26T10:42:32"/>
    <s v="Customer_142"/>
    <x v="0"/>
    <s v="Fast Food"/>
    <x v="5"/>
    <n v="5"/>
    <n v="599"/>
    <x v="917"/>
    <n v="10"/>
    <x v="1"/>
  </r>
  <r>
    <n v="2186"/>
    <x v="1185"/>
    <x v="1185"/>
    <d v="2023-12-26T17:59:42"/>
    <s v="Customer_75"/>
    <x v="3"/>
    <s v="Fast Food"/>
    <x v="8"/>
    <n v="3"/>
    <n v="837"/>
    <x v="918"/>
    <n v="17"/>
    <x v="2"/>
  </r>
  <r>
    <n v="2187"/>
    <x v="1186"/>
    <x v="1186"/>
    <d v="2023-12-27T01:16:52"/>
    <s v="Customer_67"/>
    <x v="2"/>
    <s v="Fast Food"/>
    <x v="3"/>
    <n v="1"/>
    <n v="608"/>
    <x v="919"/>
    <n v="1"/>
    <x v="3"/>
  </r>
  <r>
    <n v="2188"/>
    <x v="1187"/>
    <x v="1187"/>
    <d v="2023-12-27T08:34:02"/>
    <s v="Customer_277"/>
    <x v="0"/>
    <s v="Healthy"/>
    <x v="2"/>
    <n v="3"/>
    <n v="753"/>
    <x v="706"/>
    <n v="8"/>
    <x v="4"/>
  </r>
  <r>
    <n v="2189"/>
    <x v="1188"/>
    <x v="1188"/>
    <d v="2023-12-27T15:51:12"/>
    <s v="Customer_129"/>
    <x v="3"/>
    <s v="Asian"/>
    <x v="6"/>
    <n v="2"/>
    <n v="903"/>
    <x v="920"/>
    <n v="15"/>
    <x v="5"/>
  </r>
  <r>
    <n v="2190"/>
    <x v="1189"/>
    <x v="1189"/>
    <d v="2023-12-27T23:08:21"/>
    <s v="Customer_90"/>
    <x v="2"/>
    <s v="Continental"/>
    <x v="2"/>
    <n v="4"/>
    <n v="580"/>
    <x v="347"/>
    <n v="23"/>
    <x v="6"/>
  </r>
  <r>
    <n v="2191"/>
    <x v="1190"/>
    <x v="1190"/>
    <d v="2023-12-28T06:25:31"/>
    <s v="Customer_57"/>
    <x v="2"/>
    <s v="Main Course"/>
    <x v="3"/>
    <n v="5"/>
    <n v="762"/>
    <x v="921"/>
    <n v="6"/>
    <x v="0"/>
  </r>
  <r>
    <n v="2192"/>
    <x v="1191"/>
    <x v="1191"/>
    <d v="2023-12-28T13:42:41"/>
    <s v="Customer_14"/>
    <x v="0"/>
    <s v="Main Course"/>
    <x v="6"/>
    <n v="1"/>
    <n v="213"/>
    <x v="922"/>
    <n v="13"/>
    <x v="1"/>
  </r>
  <r>
    <n v="2193"/>
    <x v="1192"/>
    <x v="1192"/>
    <d v="2023-12-28T20:59:51"/>
    <s v="Customer_68"/>
    <x v="1"/>
    <s v="Asian"/>
    <x v="0"/>
    <n v="5"/>
    <n v="848"/>
    <x v="923"/>
    <n v="20"/>
    <x v="2"/>
  </r>
  <r>
    <n v="2194"/>
    <x v="1193"/>
    <x v="1193"/>
    <d v="2023-12-29T04:17:01"/>
    <s v="Customer_8"/>
    <x v="1"/>
    <s v="Fast Food"/>
    <x v="3"/>
    <n v="2"/>
    <n v="677"/>
    <x v="924"/>
    <n v="4"/>
    <x v="3"/>
  </r>
  <r>
    <n v="2195"/>
    <x v="1194"/>
    <x v="1194"/>
    <d v="2023-12-29T11:34:11"/>
    <s v="Customer_184"/>
    <x v="2"/>
    <s v="Fast Food"/>
    <x v="9"/>
    <n v="5"/>
    <n v="460"/>
    <x v="925"/>
    <n v="11"/>
    <x v="4"/>
  </r>
  <r>
    <n v="2196"/>
    <x v="1195"/>
    <x v="1195"/>
    <d v="2023-12-29T18:51:21"/>
    <s v="Customer_122"/>
    <x v="1"/>
    <s v="Continental"/>
    <x v="5"/>
    <n v="1"/>
    <n v="440"/>
    <x v="926"/>
    <n v="18"/>
    <x v="5"/>
  </r>
  <r>
    <n v="2197"/>
    <x v="1196"/>
    <x v="1196"/>
    <d v="2023-12-30T02:08:30"/>
    <s v="Customer_166"/>
    <x v="1"/>
    <s v="Main Course"/>
    <x v="0"/>
    <n v="2"/>
    <n v="869"/>
    <x v="879"/>
    <n v="2"/>
    <x v="6"/>
  </r>
  <r>
    <n v="2198"/>
    <x v="1197"/>
    <x v="1197"/>
    <d v="2023-12-30T09:25:40"/>
    <s v="Customer_9"/>
    <x v="3"/>
    <s v="Fast Food"/>
    <x v="1"/>
    <n v="5"/>
    <n v="860"/>
    <x v="927"/>
    <n v="9"/>
    <x v="0"/>
  </r>
  <r>
    <n v="2199"/>
    <x v="1198"/>
    <x v="1198"/>
    <d v="2023-12-30T16:42:50"/>
    <s v="Customer_90"/>
    <x v="3"/>
    <s v="Healthy"/>
    <x v="4"/>
    <n v="4"/>
    <n v="548"/>
    <x v="928"/>
    <n v="16"/>
    <x v="1"/>
  </r>
  <r>
    <n v="2200"/>
    <x v="1199"/>
    <x v="1199"/>
    <d v="2023-12-31T00:00:00"/>
    <s v="Customer_136"/>
    <x v="3"/>
    <s v="Continental"/>
    <x v="6"/>
    <n v="2"/>
    <n v="942"/>
    <x v="12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7F6CF0-21FD-4499-9812-290855AA6077}"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7:H22" firstHeaderRow="1" firstDataRow="1" firstDataCol="1"/>
  <pivotFields count="15">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axis="axisRow" showAll="0">
      <items count="5">
        <item x="3"/>
        <item x="0"/>
        <item x="1"/>
        <item x="2"/>
        <item t="default"/>
      </items>
    </pivotField>
    <pivotField showAll="0"/>
    <pivotField showAll="0"/>
    <pivotField showAll="0"/>
    <pivotField dataField="1" showAll="0"/>
    <pivotField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68BB25-AF58-458E-B7CC-E0936087DD2D}"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15:E26" firstHeaderRow="1" firstDataRow="1" firstDataCol="1"/>
  <pivotFields count="15">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items count="5">
        <item x="3"/>
        <item x="0"/>
        <item x="1"/>
        <item x="2"/>
        <item t="default"/>
      </items>
    </pivotField>
    <pivotField showAll="0"/>
    <pivotField axis="axisRow" showAll="0">
      <items count="11">
        <item x="7"/>
        <item x="3"/>
        <item x="5"/>
        <item x="9"/>
        <item x="8"/>
        <item x="0"/>
        <item x="4"/>
        <item x="6"/>
        <item x="2"/>
        <item x="1"/>
        <item t="default"/>
      </items>
    </pivotField>
    <pivotField dataField="1" showAll="0"/>
    <pivotField showAll="0"/>
    <pivotField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Quantity" fld="8" baseField="0" baseItem="0"/>
  </dataFields>
  <chartFormats count="11">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7" count="1" selected="0">
            <x v="0"/>
          </reference>
        </references>
      </pivotArea>
    </chartFormat>
    <chartFormat chart="21" format="14">
      <pivotArea type="data" outline="0" fieldPosition="0">
        <references count="2">
          <reference field="4294967294" count="1" selected="0">
            <x v="0"/>
          </reference>
          <reference field="7" count="1" selected="0">
            <x v="1"/>
          </reference>
        </references>
      </pivotArea>
    </chartFormat>
    <chartFormat chart="21" format="15">
      <pivotArea type="data" outline="0" fieldPosition="0">
        <references count="2">
          <reference field="4294967294" count="1" selected="0">
            <x v="0"/>
          </reference>
          <reference field="7" count="1" selected="0">
            <x v="2"/>
          </reference>
        </references>
      </pivotArea>
    </chartFormat>
    <chartFormat chart="21" format="16">
      <pivotArea type="data" outline="0" fieldPosition="0">
        <references count="2">
          <reference field="4294967294" count="1" selected="0">
            <x v="0"/>
          </reference>
          <reference field="7" count="1" selected="0">
            <x v="3"/>
          </reference>
        </references>
      </pivotArea>
    </chartFormat>
    <chartFormat chart="21" format="17">
      <pivotArea type="data" outline="0" fieldPosition="0">
        <references count="2">
          <reference field="4294967294" count="1" selected="0">
            <x v="0"/>
          </reference>
          <reference field="7" count="1" selected="0">
            <x v="4"/>
          </reference>
        </references>
      </pivotArea>
    </chartFormat>
    <chartFormat chart="21" format="18">
      <pivotArea type="data" outline="0" fieldPosition="0">
        <references count="2">
          <reference field="4294967294" count="1" selected="0">
            <x v="0"/>
          </reference>
          <reference field="7" count="1" selected="0">
            <x v="5"/>
          </reference>
        </references>
      </pivotArea>
    </chartFormat>
    <chartFormat chart="21" format="19">
      <pivotArea type="data" outline="0" fieldPosition="0">
        <references count="2">
          <reference field="4294967294" count="1" selected="0">
            <x v="0"/>
          </reference>
          <reference field="7" count="1" selected="0">
            <x v="6"/>
          </reference>
        </references>
      </pivotArea>
    </chartFormat>
    <chartFormat chart="21" format="20">
      <pivotArea type="data" outline="0" fieldPosition="0">
        <references count="2">
          <reference field="4294967294" count="1" selected="0">
            <x v="0"/>
          </reference>
          <reference field="7" count="1" selected="0">
            <x v="7"/>
          </reference>
        </references>
      </pivotArea>
    </chartFormat>
    <chartFormat chart="21" format="21">
      <pivotArea type="data" outline="0" fieldPosition="0">
        <references count="2">
          <reference field="4294967294" count="1" selected="0">
            <x v="0"/>
          </reference>
          <reference field="7" count="1" selected="0">
            <x v="8"/>
          </reference>
        </references>
      </pivotArea>
    </chartFormat>
    <chartFormat chart="21" format="22">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6DA052-D1D2-4DE5-8E66-6F95DBF0797D}"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1:B24" firstHeaderRow="1" firstDataRow="1" firstDataCol="1"/>
  <pivotFields count="15">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items count="5">
        <item x="3"/>
        <item x="0"/>
        <item x="1"/>
        <item x="2"/>
        <item t="default"/>
      </items>
    </pivotField>
    <pivotField showAll="0"/>
    <pivotField showAll="0"/>
    <pivotField showAll="0"/>
    <pivotField showAll="0"/>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
    <field x="14"/>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4">
    <chartFormat chart="2"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3176A6-13D4-4FCF-BDA5-B232B5B14B29}"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3:H14" firstHeaderRow="1" firstDataRow="1" firstDataCol="1"/>
  <pivotFields count="15">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items count="5">
        <item x="3"/>
        <item x="0"/>
        <item x="1"/>
        <item x="2"/>
        <item t="default"/>
      </items>
    </pivotField>
    <pivotField showAll="0"/>
    <pivotField axis="axisRow" showAll="0">
      <items count="11">
        <item x="7"/>
        <item x="3"/>
        <item x="5"/>
        <item x="9"/>
        <item x="8"/>
        <item x="0"/>
        <item x="4"/>
        <item x="6"/>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Sales" fld="10" baseField="0" baseItem="0"/>
  </dataFields>
  <chartFormats count="11">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7" count="1" selected="0">
            <x v="0"/>
          </reference>
        </references>
      </pivotArea>
    </chartFormat>
    <chartFormat chart="19" format="14">
      <pivotArea type="data" outline="0" fieldPosition="0">
        <references count="2">
          <reference field="4294967294" count="1" selected="0">
            <x v="0"/>
          </reference>
          <reference field="7" count="1" selected="0">
            <x v="1"/>
          </reference>
        </references>
      </pivotArea>
    </chartFormat>
    <chartFormat chart="19" format="15">
      <pivotArea type="data" outline="0" fieldPosition="0">
        <references count="2">
          <reference field="4294967294" count="1" selected="0">
            <x v="0"/>
          </reference>
          <reference field="7" count="1" selected="0">
            <x v="2"/>
          </reference>
        </references>
      </pivotArea>
    </chartFormat>
    <chartFormat chart="19" format="16">
      <pivotArea type="data" outline="0" fieldPosition="0">
        <references count="2">
          <reference field="4294967294" count="1" selected="0">
            <x v="0"/>
          </reference>
          <reference field="7" count="1" selected="0">
            <x v="3"/>
          </reference>
        </references>
      </pivotArea>
    </chartFormat>
    <chartFormat chart="19" format="17">
      <pivotArea type="data" outline="0" fieldPosition="0">
        <references count="2">
          <reference field="4294967294" count="1" selected="0">
            <x v="0"/>
          </reference>
          <reference field="7" count="1" selected="0">
            <x v="4"/>
          </reference>
        </references>
      </pivotArea>
    </chartFormat>
    <chartFormat chart="19" format="18">
      <pivotArea type="data" outline="0" fieldPosition="0">
        <references count="2">
          <reference field="4294967294" count="1" selected="0">
            <x v="0"/>
          </reference>
          <reference field="7" count="1" selected="0">
            <x v="5"/>
          </reference>
        </references>
      </pivotArea>
    </chartFormat>
    <chartFormat chart="19" format="19">
      <pivotArea type="data" outline="0" fieldPosition="0">
        <references count="2">
          <reference field="4294967294" count="1" selected="0">
            <x v="0"/>
          </reference>
          <reference field="7" count="1" selected="0">
            <x v="6"/>
          </reference>
        </references>
      </pivotArea>
    </chartFormat>
    <chartFormat chart="19" format="20">
      <pivotArea type="data" outline="0" fieldPosition="0">
        <references count="2">
          <reference field="4294967294" count="1" selected="0">
            <x v="0"/>
          </reference>
          <reference field="7" count="1" selected="0">
            <x v="7"/>
          </reference>
        </references>
      </pivotArea>
    </chartFormat>
    <chartFormat chart="19" format="21">
      <pivotArea type="data" outline="0" fieldPosition="0">
        <references count="2">
          <reference field="4294967294" count="1" selected="0">
            <x v="0"/>
          </reference>
          <reference field="7" count="1" selected="0">
            <x v="8"/>
          </reference>
        </references>
      </pivotArea>
    </chartFormat>
    <chartFormat chart="19" format="22">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D40E6D-83D3-4DAB-9350-03D2250BF675}"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1" firstHeaderRow="1" firstDataRow="1" firstDataCol="1"/>
  <pivotFields count="15">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items count="5">
        <item x="3"/>
        <item x="0"/>
        <item x="1"/>
        <item x="2"/>
        <item t="default"/>
      </items>
    </pivotField>
    <pivotField showAll="0"/>
    <pivotField showAll="0"/>
    <pivotField showAll="0"/>
    <pivotField showAll="0"/>
    <pivotField dataField="1" showAll="0"/>
    <pivotField showAll="0"/>
    <pivotField axis="axisRow"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A17255-6C37-4CB9-BBD4-5DDBE972D732}"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5">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axis="axisRow" showAll="0">
      <items count="5">
        <item x="3"/>
        <item x="0"/>
        <item x="1"/>
        <item x="2"/>
        <item t="default"/>
      </items>
    </pivotField>
    <pivotField showAll="0"/>
    <pivotField showAll="0"/>
    <pivotField showAll="0"/>
    <pivotField showAll="0"/>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10" baseField="0" baseItem="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A40A13-16FF-4008-AEA5-F6FDCFE5979B}" sourceName="Region">
  <pivotTables>
    <pivotTable tabId="5" name="PivotTable6"/>
    <pivotTable tabId="5" name="PivotTable9"/>
    <pivotTable tabId="5" name="PivotTable10"/>
    <pivotTable tabId="5" name="PivotTable11"/>
  </pivotTables>
  <data>
    <tabular pivotCacheId="72500745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2A26B76B-7AF4-4E2C-944E-6597879D9740}" sourceName="Sales">
  <pivotTables>
    <pivotTable tabId="5" name="PivotTable6"/>
    <pivotTable tabId="5" name="PivotTable9"/>
    <pivotTable tabId="5" name="PivotTable10"/>
    <pivotTable tabId="5" name="PivotTable11"/>
  </pivotTables>
  <data>
    <tabular pivotCacheId="725007455">
      <items count="929">
        <i x="607" s="1"/>
        <i x="513" s="1"/>
        <i x="812" s="1"/>
        <i x="79" s="1"/>
        <i x="341" s="1"/>
        <i x="239" s="1"/>
        <i x="568" s="1"/>
        <i x="436" s="1"/>
        <i x="323" s="1"/>
        <i x="382" s="1"/>
        <i x="670" s="1"/>
        <i x="269" s="1"/>
        <i x="756" s="1"/>
        <i x="820" s="1"/>
        <i x="707" s="1"/>
        <i x="233" s="1"/>
        <i x="895" s="1"/>
        <i x="558" s="1"/>
        <i x="429" s="1"/>
        <i x="53" s="1"/>
        <i x="205" s="1"/>
        <i x="622" s="1"/>
        <i x="515" s="1"/>
        <i x="909" s="1"/>
        <i x="108" s="1"/>
        <i x="480" s="1"/>
        <i x="24" s="1"/>
        <i x="181" s="1"/>
        <i x="18" s="1"/>
        <i x="922" s="1"/>
        <i x="684" s="1"/>
        <i x="658" s="1"/>
        <i x="251" s="1"/>
        <i x="15" s="1"/>
        <i x="664" s="1"/>
        <i x="538" s="1"/>
        <i x="137" s="1"/>
        <i x="73" s="1"/>
        <i x="725" s="1"/>
        <i x="162" s="1"/>
        <i x="619" s="1"/>
        <i x="676" s="1"/>
        <i x="208" s="1"/>
        <i x="650" s="1"/>
        <i x="381" s="1"/>
        <i x="833" s="1"/>
        <i x="149" s="1"/>
        <i x="659" s="1"/>
        <i x="312" s="1"/>
        <i x="858" s="1"/>
        <i x="57" s="1"/>
        <i x="673" s="1"/>
        <i x="294" s="1"/>
        <i x="55" s="1"/>
        <i x="591" s="1"/>
        <i x="71" s="1"/>
        <i x="338" s="1"/>
        <i x="101" s="1"/>
        <i x="45" s="1"/>
        <i x="562" s="1"/>
        <i x="526" s="1"/>
        <i x="880" s="1"/>
        <i x="82" s="1"/>
        <i x="225" s="1"/>
        <i x="318" s="1"/>
        <i x="749" s="1"/>
        <i x="516" s="1"/>
        <i x="352" s="1"/>
        <i x="451" s="1"/>
        <i x="595" s="1"/>
        <i x="798" s="1"/>
        <i x="169" s="1"/>
        <i x="104" s="1"/>
        <i x="276" s="1"/>
        <i x="840" s="1"/>
        <i x="299" s="1"/>
        <i x="530" s="1"/>
        <i x="176" s="1"/>
        <i x="412" s="1"/>
        <i x="373" s="1"/>
        <i x="171" s="1"/>
        <i x="811" s="1"/>
        <i x="504" s="1"/>
        <i x="621" s="1"/>
        <i x="303" s="1"/>
        <i x="11" s="1"/>
        <i x="705" s="1"/>
        <i x="102" s="1"/>
        <i x="298" s="1"/>
        <i x="739" s="1"/>
        <i x="821" s="1"/>
        <i x="588" s="1"/>
        <i x="753" s="1"/>
        <i x="287" s="1"/>
        <i x="203" s="1"/>
        <i x="475" s="1"/>
        <i x="493" s="1"/>
        <i x="800" s="1"/>
        <i x="904" s="1"/>
        <i x="433" s="1"/>
        <i x="23" s="1"/>
        <i x="783" s="1"/>
        <i x="274" s="1"/>
        <i x="62" s="1"/>
        <i x="770" s="1"/>
        <i x="339" s="1"/>
        <i x="290" s="1"/>
        <i x="74" s="1"/>
        <i x="498" s="1"/>
        <i x="112" s="1"/>
        <i x="764" s="1"/>
        <i x="83" s="1"/>
        <i x="926" s="1"/>
        <i x="506" s="1"/>
        <i x="204" s="1"/>
        <i x="539" s="1"/>
        <i x="147" s="1"/>
        <i x="534" s="1"/>
        <i x="685" s="1"/>
        <i x="177" s="1"/>
        <i x="25" s="1"/>
        <i x="573" s="1"/>
        <i x="51" s="1"/>
        <i x="590" s="1"/>
        <i x="89" s="1"/>
        <i x="608" s="1"/>
        <i x="805" s="1"/>
        <i x="198" s="1"/>
        <i x="369" s="1"/>
        <i x="459" s="1"/>
        <i x="416" s="1"/>
        <i x="528" s="1"/>
        <i x="477" s="1"/>
        <i x="56" s="1"/>
        <i x="897" s="1"/>
        <i x="366" s="1"/>
        <i x="818" s="1"/>
        <i x="30" s="1"/>
        <i x="46" s="1"/>
        <i x="863" s="1"/>
        <i x="531" s="1"/>
        <i x="247" s="1"/>
        <i x="349" s="1"/>
        <i x="164" s="1"/>
        <i x="567" s="1"/>
        <i x="913" s="1"/>
        <i x="398" s="1"/>
        <i x="625" s="1"/>
        <i x="672" s="1"/>
        <i x="509" s="1"/>
        <i x="190" s="1"/>
        <i x="827" s="1"/>
        <i x="302" s="1"/>
        <i x="328" s="1"/>
        <i x="804" s="1"/>
        <i x="799" s="1"/>
        <i x="628" s="1"/>
        <i x="692" s="1"/>
        <i x="616" s="1"/>
        <i x="142" s="1"/>
        <i x="279" s="1"/>
        <i x="449" s="1"/>
        <i x="911" s="1"/>
        <i x="525" s="1"/>
        <i x="253" s="1"/>
        <i x="789" s="1"/>
        <i x="735" s="1"/>
        <i x="134" s="1"/>
        <i x="121" s="1"/>
        <i x="830" s="1"/>
        <i x="234" s="1"/>
        <i x="392" s="1"/>
        <i x="150" s="1"/>
        <i x="238" s="1"/>
        <i x="823" s="1"/>
        <i x="601" s="1"/>
        <i x="721" s="1"/>
        <i x="403" s="1"/>
        <i x="500" s="1"/>
        <i x="919" s="1"/>
        <i x="656" s="1"/>
        <i x="891" s="1"/>
        <i x="571" s="1"/>
        <i x="689" s="1"/>
        <i x="237" s="1"/>
        <i x="68" s="1"/>
        <i x="445" s="1"/>
        <i x="596" s="1"/>
        <i x="853" s="1"/>
        <i x="575" s="1"/>
        <i x="668" s="1"/>
        <i x="92" s="1"/>
        <i x="427" s="1"/>
        <i x="901" s="1"/>
        <i x="157" s="1"/>
        <i x="353" s="1"/>
        <i x="580" s="1"/>
        <i x="810" s="1"/>
        <i x="461" s="1"/>
        <i x="855" s="1"/>
        <i x="648" s="1"/>
        <i x="61" s="1"/>
        <i x="808" s="1"/>
        <i x="642" s="1"/>
        <i x="438" s="1"/>
        <i x="387" s="1"/>
        <i x="97" s="1"/>
        <i x="280" s="1"/>
        <i x="817" s="1"/>
        <i x="219" s="1"/>
        <i x="39" s="1"/>
        <i x="2" s="1"/>
        <i x="49" s="1"/>
        <i x="836" s="1"/>
        <i x="393" s="1"/>
        <i x="286" s="1"/>
        <i x="604" s="1"/>
        <i x="159" s="1"/>
        <i x="410" s="1"/>
        <i x="837" s="1"/>
        <i x="165" s="1"/>
        <i x="115" s="1"/>
        <i x="385" s="1"/>
        <i x="577" s="1"/>
        <i x="86" s="1"/>
        <i x="742" s="1"/>
        <i x="183" s="1"/>
        <i x="331" s="1"/>
        <i x="482" s="1"/>
        <i x="547" s="1"/>
        <i x="402" s="1"/>
        <i x="95" s="1"/>
        <i x="828" s="1"/>
        <i x="815" s="1"/>
        <i x="300" s="1"/>
        <i x="691" s="1"/>
        <i x="36" s="1"/>
        <i x="723" s="1"/>
        <i x="540" s="1"/>
        <i x="466" s="1"/>
        <i x="898" s="1"/>
        <i x="262" s="1"/>
        <i x="835" s="1"/>
        <i x="666" s="1"/>
        <i x="714" s="1"/>
        <i x="132" s="1"/>
        <i x="733" s="1"/>
        <i x="851" s="1"/>
        <i x="488" s="1"/>
        <i x="85" s="1"/>
        <i x="824" s="1"/>
        <i x="487" s="1"/>
        <i x="376" s="1"/>
        <i x="185" s="1"/>
        <i x="908" s="1"/>
        <i x="489" s="1"/>
        <i x="131" s="1"/>
        <i x="626" s="1"/>
        <i x="869" s="1"/>
        <i x="420" s="1"/>
        <i x="188" s="1"/>
        <i x="875" s="1"/>
        <i x="715" s="1"/>
        <i x="245" s="1"/>
        <i x="391" s="1"/>
        <i x="471" s="1"/>
        <i x="857" s="1"/>
        <i x="66" s="1"/>
        <i x="708" s="1"/>
        <i x="266" s="1"/>
        <i x="645" s="1"/>
        <i x="209" s="1"/>
        <i x="463" s="1"/>
        <i x="148" s="1"/>
        <i x="797" s="1"/>
        <i x="639" s="1"/>
        <i x="474" s="1"/>
        <i x="363" s="1"/>
        <i x="546" s="1"/>
        <i x="289" s="1"/>
        <i x="38" s="1"/>
        <i x="754" s="1"/>
        <i x="523" s="1"/>
        <i x="170" s="1"/>
        <i x="545" s="1"/>
        <i x="757" s="1"/>
        <i x="669" s="1"/>
        <i x="464" s="1"/>
        <i x="661" s="1"/>
        <i x="196" s="1"/>
        <i x="33" s="1"/>
        <i x="563" s="1"/>
        <i x="458" s="1"/>
        <i x="775" s="1"/>
        <i x="585" s="1"/>
        <i x="841" s="1"/>
        <i x="314" s="1"/>
        <i x="230" s="1"/>
        <i x="467" s="1"/>
        <i x="84" s="1"/>
        <i x="694" s="1"/>
        <i x="501" s="1"/>
        <i x="250" s="1"/>
        <i x="755" s="1"/>
        <i x="543" s="1"/>
        <i x="359" s="1"/>
        <i x="702" s="1"/>
        <i x="423" s="1"/>
        <i x="439" s="1"/>
        <i x="283" s="1"/>
        <i x="91" s="1"/>
        <i x="400" s="1"/>
        <i x="794" s="1"/>
        <i x="555" s="1"/>
        <i x="767" s="1"/>
        <i x="679" s="1"/>
        <i x="688" s="1"/>
        <i x="564" s="1"/>
        <i x="59" s="1"/>
        <i x="731" s="1"/>
        <i x="807" s="1"/>
        <i x="224" s="1"/>
        <i x="441" s="1"/>
        <i x="43" s="1"/>
        <i x="354" s="1"/>
        <i x="846" s="1"/>
        <i x="618" s="1"/>
        <i x="94" s="1"/>
        <i x="632" s="1"/>
        <i x="667" s="1"/>
        <i x="41" s="1"/>
        <i x="675" s="1"/>
        <i x="195" s="1"/>
        <i x="199" s="1"/>
        <i x="215" s="1"/>
        <i x="574" s="1"/>
        <i x="507" s="1"/>
        <i x="288" s="1"/>
        <i x="494" s="1"/>
        <i x="223" s="1"/>
        <i x="99" s="1"/>
        <i x="187" s="1"/>
        <i x="116" s="1"/>
        <i x="399" s="1"/>
        <i x="218" s="1"/>
        <i x="136" s="1"/>
        <i x="809" s="1"/>
        <i x="627" s="1"/>
        <i x="615" s="1"/>
        <i x="682" s="1"/>
        <i x="727" s="1"/>
        <i x="153" s="1"/>
        <i x="340" s="1"/>
        <i x="527" s="1"/>
        <i x="446" s="1"/>
        <i x="910" s="1"/>
        <i x="362" s="1"/>
        <i x="397" s="1"/>
        <i x="222" s="1"/>
        <i x="736" s="1"/>
        <i x="586" s="1"/>
        <i x="152" s="1"/>
        <i x="248" s="1"/>
        <i x="662" s="1"/>
        <i x="316" s="1"/>
        <i x="109" s="1"/>
        <i x="325" s="1"/>
        <i x="674" s="1"/>
        <i x="644" s="1"/>
        <i x="832" s="1"/>
        <i x="285" s="1"/>
        <i x="64" s="1"/>
        <i x="228" s="1"/>
        <i x="172" s="1"/>
        <i x="139" s="1"/>
        <i x="63" s="1"/>
        <i x="793" s="1"/>
        <i x="884" s="1"/>
        <i x="695" s="1"/>
        <i x="624" s="1"/>
        <i x="258" s="1"/>
        <i x="747" s="1"/>
        <i x="630" s="1"/>
        <i x="350" s="1"/>
        <i x="394" s="1"/>
        <i x="273" s="1"/>
        <i x="386" s="1"/>
        <i x="380" s="1"/>
        <i x="635" s="1"/>
        <i x="140" s="1"/>
        <i x="671" s="1"/>
        <i x="902" s="1"/>
        <i x="772" s="1"/>
        <i x="19" s="1"/>
        <i x="370" s="1"/>
        <i x="641" s="1"/>
        <i x="65" s="1"/>
        <i x="44" s="1"/>
        <i x="361" s="1"/>
        <i x="8" s="1"/>
        <i x="336" s="1"/>
        <i x="660" s="1"/>
        <i x="145" s="1"/>
        <i x="48" s="1"/>
        <i x="614" s="1"/>
        <i x="752" s="1"/>
        <i x="782" s="1"/>
        <i x="663" s="1"/>
        <i x="899" s="1"/>
        <i x="155" s="1"/>
        <i x="556" s="1"/>
        <i x="114" s="1"/>
        <i x="12" s="1"/>
        <i x="281" s="1"/>
        <i x="541" s="1"/>
        <i x="522" s="1"/>
        <i x="825" s="1"/>
        <i x="750" s="1"/>
        <i x="292" s="1"/>
        <i x="718" s="1"/>
        <i x="542" s="1"/>
        <i x="779" s="1"/>
        <i x="868" s="1"/>
        <i x="254" s="1"/>
        <i x="343" s="1"/>
        <i x="337" s="1"/>
        <i x="916" s="1"/>
        <i x="606" s="1"/>
        <i x="207" s="1"/>
        <i x="597" s="1"/>
        <i x="22" s="1"/>
        <i x="421" s="1"/>
        <i x="871" s="1"/>
        <i x="178" s="1"/>
        <i x="502" s="1"/>
        <i x="210" s="1"/>
        <i x="790" s="1"/>
        <i x="293" s="1"/>
        <i x="305" s="1"/>
        <i x="242" s="1"/>
        <i x="156" s="1"/>
        <i x="174" s="1"/>
        <i x="687" s="1"/>
        <i x="924" s="1"/>
        <i x="304" s="1"/>
        <i x="854" s="1"/>
        <i x="491" s="1"/>
        <i x="256" s="1"/>
        <i x="351" s="1"/>
        <i x="481" s="1"/>
        <i x="277" s="1"/>
        <i x="342" s="1"/>
        <i x="760" s="1"/>
        <i x="432" s="1"/>
        <i x="634" s="1"/>
        <i x="184" s="1"/>
        <i x="724" s="1"/>
        <i x="813" s="1"/>
        <i x="259" s="1"/>
        <i x="652" s="1"/>
        <i x="270" s="1"/>
        <i x="408" s="1"/>
        <i x="613" s="1"/>
        <i x="524" s="1"/>
        <i x="903" s="1"/>
        <i x="364" s="1"/>
        <i x="263" s="1"/>
        <i x="326" s="1"/>
        <i x="425" s="1"/>
        <i x="559" s="1"/>
        <i x="788" s="1"/>
        <i x="129" s="1"/>
        <i x="163" s="1"/>
        <i x="192" s="1"/>
        <i x="106" s="1"/>
        <i x="96" s="1"/>
        <i x="569" s="1"/>
        <i x="414" s="1"/>
        <i x="214" s="1"/>
        <i x="448" s="1"/>
        <i x="27" s="1"/>
        <i x="751" s="1"/>
        <i x="499" s="1"/>
        <i x="426" s="1"/>
        <i x="893" s="1"/>
        <i x="158" s="1"/>
        <i x="890" s="1"/>
        <i x="371" s="1"/>
        <i x="549" s="1"/>
        <i x="32" s="1"/>
        <i x="454" s="1"/>
        <i x="784" s="1"/>
        <i x="780" s="1"/>
        <i x="479" s="1"/>
        <i x="375" s="1"/>
        <i x="117" s="1"/>
        <i x="761" s="1"/>
        <i x="14" s="1"/>
        <i x="696" s="1"/>
        <i x="430" s="1"/>
        <i x="605" s="1"/>
        <i x="291" s="1"/>
        <i x="710" s="1"/>
        <i x="317" s="1"/>
        <i x="473" s="1"/>
        <i x="852" s="1"/>
        <i x="357" s="1"/>
        <i x="5" s="1"/>
        <i x="123" s="1"/>
        <i x="406" s="1"/>
        <i x="829" s="1"/>
        <i x="737" s="1"/>
        <i x="409" s="1"/>
        <i x="372" s="1"/>
        <i x="272" s="1"/>
        <i x="560" s="1"/>
        <i x="680" s="1"/>
        <i x="217" s="1"/>
        <i x="623" s="1"/>
        <i x="31" s="1"/>
        <i x="154" s="1"/>
        <i x="415" s="1"/>
        <i x="202" s="1"/>
        <i x="850" s="1"/>
        <i x="166" s="1"/>
        <i x="859" s="1"/>
        <i x="268" s="1"/>
        <i x="319" s="1"/>
        <i x="173" s="1"/>
        <i x="93" s="1"/>
        <i x="297" s="1"/>
        <i x="348" s="1"/>
        <i x="602" s="1"/>
        <i x="241" s="1"/>
        <i x="275" s="1"/>
        <i x="882" s="1"/>
        <i x="322" s="1"/>
        <i x="379" s="1"/>
        <i x="907" s="1"/>
        <i x="879" s="1"/>
        <i x="211" s="1"/>
        <i x="388" s="1"/>
        <i x="579" s="1"/>
        <i x="413" s="1"/>
        <i x="88" s="1"/>
        <i x="13" s="1"/>
        <i x="308" s="1"/>
        <i x="127" s="1"/>
        <i x="194" s="1"/>
        <i x="722" s="1"/>
        <i x="469" s="1"/>
        <i x="332" s="1"/>
        <i x="599" s="1"/>
        <i x="738" s="1"/>
        <i x="759" s="1"/>
        <i x="883" s="1"/>
        <i x="457" s="1"/>
        <i x="693" s="1"/>
        <i x="611" s="1"/>
        <i x="58" s="1"/>
        <i x="920" s="1"/>
        <i x="860" s="1"/>
        <i x="20" s="1"/>
        <i x="227" s="1"/>
        <i x="313" s="1"/>
        <i x="874" s="1"/>
        <i x="135" s="1"/>
        <i x="168" s="1"/>
        <i x="740" s="1"/>
        <i x="593" s="1"/>
        <i x="633" s="1"/>
        <i x="390" s="1"/>
        <i x="321" s="1"/>
        <i x="141" s="1"/>
        <i x="730" s="1"/>
        <i x="600" s="1"/>
        <i x="220" s="1"/>
        <i x="651" s="1"/>
        <i x="69" s="1"/>
        <i x="518" s="1"/>
        <i x="118" s="1"/>
        <i x="124" s="1"/>
        <i x="358" s="1"/>
        <i x="888" s="1"/>
        <i x="728" s="1"/>
        <i x="729" s="1"/>
        <i x="346" s="1"/>
        <i x="620" s="1"/>
        <i x="296" s="1"/>
        <i x="472" s="1"/>
        <i x="344" s="1"/>
        <i x="598" s="1"/>
        <i x="856" s="1"/>
        <i x="411" s="1"/>
        <i x="34" s="1"/>
        <i x="906" s="1"/>
        <i x="609" s="1"/>
        <i x="653" s="1"/>
        <i x="640" s="1"/>
        <i x="444" s="1"/>
        <i x="271" s="1"/>
        <i x="243" s="1"/>
        <i x="418" s="1"/>
        <i x="212" s="1"/>
        <i x="29" s="1"/>
        <i x="762" s="1"/>
        <i x="550" s="1"/>
        <i x="822" s="1"/>
        <i x="486" s="1"/>
        <i x="428" s="1"/>
        <i x="795" s="1"/>
        <i x="497" s="1"/>
        <i x="529" s="1"/>
        <i x="485" s="1"/>
        <i x="511" s="1"/>
        <i x="80" s="1"/>
        <i x="844" s="1"/>
        <i x="842" s="1"/>
        <i x="476" s="1"/>
        <i x="151" s="1"/>
        <i x="709" s="1"/>
        <i x="867" s="1"/>
        <i x="260" s="1"/>
        <i x="182" s="1"/>
        <i x="186" s="1"/>
        <i x="389" s="1"/>
        <i x="257" s="1"/>
        <i x="826" s="1"/>
        <i x="746" s="1"/>
        <i x="221" s="1"/>
        <i x="265" s="1"/>
        <i x="201" s="1"/>
        <i x="654" s="1"/>
        <i x="26" s="1"/>
        <i x="301" s="1"/>
        <i x="928" s="1"/>
        <i x="894" s="1"/>
        <i x="801" s="1"/>
        <i x="876" s="1"/>
        <i x="849" s="1"/>
        <i x="310" s="1"/>
        <i x="655" s="1"/>
        <i x="792" s="1"/>
        <i x="697" s="1"/>
        <i x="791" s="1"/>
        <i x="706" s="1"/>
        <i x="896" s="1"/>
        <i x="786" s="1"/>
        <i x="554" s="1"/>
        <i x="189" s="1"/>
        <i x="925" s="1"/>
        <i x="785" s="1"/>
        <i x="603" s="1"/>
        <i x="4" s="1"/>
        <i x="347" s="1"/>
        <i x="468" s="1"/>
        <i x="713" s="1"/>
        <i x="637" s="1"/>
        <i x="9" s="1"/>
        <i x="98" s="1"/>
        <i x="401" s="1"/>
        <i x="40" s="1"/>
        <i x="236" s="1"/>
        <i x="848" s="1"/>
        <i x="683" s="1"/>
        <i x="7" s="1"/>
        <i x="175" s="1"/>
        <i x="77" s="1"/>
        <i x="442" s="1"/>
        <i x="119" s="1"/>
        <i x="720" s="1"/>
        <i x="677" s="1"/>
        <i x="803" s="1"/>
        <i x="42" s="1"/>
        <i x="90" s="1"/>
        <i x="838" s="1"/>
        <i x="16" s="1"/>
        <i x="110" s="1"/>
        <i x="533" s="1"/>
        <i x="146" s="1"/>
        <i x="231" s="1"/>
        <i x="460" s="1"/>
        <i x="732" s="1"/>
        <i x="87" s="1"/>
        <i x="267" s="1"/>
        <i x="834" s="1"/>
        <i x="766" s="1"/>
        <i x="335" s="1"/>
        <i x="143" s="1"/>
        <i x="125" s="1"/>
        <i x="918" s="1"/>
        <i x="249" s="1"/>
        <i x="698" s="1"/>
        <i x="681" s="1"/>
        <i x="324" s="1"/>
        <i x="440" s="1"/>
        <i x="100" s="1"/>
        <i x="405" s="1"/>
        <i x="355" s="1"/>
        <i x="226" s="1"/>
        <i x="261" s="1"/>
        <i x="517" s="1"/>
        <i x="244" s="1"/>
        <i x="578" s="1"/>
        <i x="330" s="1"/>
        <i x="232" s="1"/>
        <i x="587" s="1"/>
        <i x="309" s="1"/>
        <i x="636" s="1"/>
        <i x="0" s="1"/>
        <i x="631" s="1"/>
        <i x="161" s="1"/>
        <i x="111" s="1"/>
        <i x="769" s="1"/>
        <i x="776" s="1"/>
        <i x="75" s="1"/>
        <i x="107" s="1"/>
        <i x="657" s="1"/>
        <i x="216" s="1"/>
        <i x="839" s="1"/>
        <i x="774" s="1"/>
        <i x="886" s="1"/>
        <i x="843" s="1"/>
        <i x="126" s="1"/>
        <i x="570" s="1"/>
        <i x="200" s="1"/>
        <i x="561" s="1"/>
        <i x="213" s="1"/>
        <i x="345" s="1"/>
        <i x="191" s="1"/>
        <i x="47" s="1"/>
        <i x="787" s="1"/>
        <i x="6" s="1"/>
        <i x="435" s="1"/>
        <i x="726" s="1"/>
        <i x="284" s="1"/>
        <i x="122" s="1"/>
        <i x="866" s="1"/>
        <i x="404" s="1"/>
        <i x="915" s="1"/>
        <i x="484" s="1"/>
        <i x="877" s="1"/>
        <i x="576" s="1"/>
        <i x="37" s="1"/>
        <i x="206" s="1"/>
        <i x="719" s="1"/>
        <i x="54" s="1"/>
        <i x="892" s="1"/>
        <i x="133" s="1"/>
        <i x="889" s="1"/>
        <i x="565" s="1"/>
        <i x="295" s="1"/>
        <i x="741" s="1"/>
        <i x="748" s="1"/>
        <i x="510" s="1"/>
        <i x="512" s="1"/>
        <i x="699" s="1"/>
        <i x="665" s="1"/>
        <i x="678" s="1"/>
        <i x="395" s="1"/>
        <i x="144" s="1"/>
        <i x="193" s="1"/>
        <i x="777" s="1"/>
        <i x="594" s="1"/>
        <i x="690" s="1"/>
        <i x="646" s="1"/>
        <i x="532" s="1"/>
        <i x="60" s="1"/>
        <i x="781" s="1"/>
        <i x="443" s="1"/>
        <i x="917" s="1"/>
        <i x="431" s="1"/>
        <i x="885" s="1"/>
        <i x="582" s="1"/>
        <i x="638" s="1"/>
        <i x="315" s="1"/>
        <i x="686" s="1"/>
        <i x="905" s="1"/>
        <i x="327" s="1"/>
        <i x="434" s="1"/>
        <i x="378" s="1"/>
        <i x="365" s="1"/>
        <i x="307" s="1"/>
        <i x="130" s="1"/>
        <i x="419" s="1"/>
        <i x="806" s="1"/>
        <i x="505" s="1"/>
        <i x="282" s="1"/>
        <i x="180" s="1"/>
        <i x="311" s="1"/>
        <i x="536" s="1"/>
        <i x="711" s="1"/>
        <i x="887" s="1"/>
        <i x="105" s="1"/>
        <i x="50" s="1"/>
        <i x="847" s="1"/>
        <i x="333" s="1"/>
        <i x="819" s="1"/>
        <i x="320" s="1"/>
        <i x="865" s="1"/>
        <i x="235" s="1"/>
        <i x="873" s="1"/>
        <i x="544" s="1"/>
        <i x="447" s="1"/>
        <i x="417" s="1"/>
        <i x="264" s="1"/>
        <i x="356" s="1"/>
        <i x="453" s="1"/>
        <i x="617" s="1"/>
        <i x="712" s="1"/>
        <i x="1" s="1"/>
        <i x="496" s="1"/>
        <i x="179" s="1"/>
        <i x="584" s="1"/>
        <i x="255" s="1"/>
        <i x="796" s="1"/>
        <i x="717" s="1"/>
        <i x="28" s="1"/>
        <i x="160" s="1"/>
        <i x="700" s="1"/>
        <i x="334" s="1"/>
        <i x="81" s="1"/>
        <i x="552" s="1"/>
        <i x="514" s="1"/>
        <i x="802" s="1"/>
        <i x="870" s="1"/>
        <i x="744" s="1"/>
        <i x="278" s="1"/>
        <i x="716" s="1"/>
        <i x="470" s="1"/>
        <i x="914" s="1"/>
        <i x="771" s="1"/>
        <i x="70" s="1"/>
        <i x="128" s="1"/>
        <i x="10" s="1"/>
        <i x="763" s="1"/>
        <i x="704" s="1"/>
        <i x="197" s="1"/>
        <i x="535" s="1"/>
        <i x="113" s="1"/>
        <i x="551" s="1"/>
        <i x="629" s="1"/>
        <i x="703" s="1"/>
        <i x="647" s="1"/>
        <i x="765" s="1"/>
        <i x="814" s="1"/>
        <i x="592" s="1"/>
        <i x="76" s="1"/>
        <i x="52" s="1"/>
        <i x="612" s="1"/>
        <i x="422" s="1"/>
        <i x="383" s="1"/>
        <i x="862" s="1"/>
        <i x="701" s="1"/>
        <i x="900" s="1"/>
        <i x="845" s="1"/>
        <i x="246" s="1"/>
        <i x="831" s="1"/>
        <i x="452" s="1"/>
        <i x="921" s="1"/>
        <i x="778" s="1"/>
        <i x="329" s="1"/>
        <i x="360" s="1"/>
        <i x="483" s="1"/>
        <i x="492" s="1"/>
        <i x="67" s="1"/>
        <i x="17" s="1"/>
        <i x="816" s="1"/>
        <i x="437" s="1"/>
        <i x="643" s="1"/>
        <i x="367" s="1"/>
        <i x="520" s="1"/>
        <i x="229" s="1"/>
        <i x="167" s="1"/>
        <i x="252" s="1"/>
        <i x="548" s="1"/>
        <i x="450" s="1"/>
        <i x="861" s="1"/>
        <i x="374" s="1"/>
        <i x="368" s="1"/>
        <i x="864" s="1"/>
        <i x="872" s="1"/>
        <i x="490" s="1"/>
        <i x="768" s="1"/>
        <i x="377" s="1"/>
        <i x="462" s="1"/>
        <i x="553" s="1"/>
        <i x="566" s="1"/>
        <i x="456" s="1"/>
        <i x="878" s="1"/>
        <i x="572" s="1"/>
        <i x="583" s="1"/>
        <i x="912" s="1"/>
        <i x="21" s="1"/>
        <i x="923" s="1"/>
        <i x="35" s="1"/>
        <i x="589" s="1"/>
        <i x="927" s="1"/>
        <i x="103" s="1"/>
        <i x="478" s="1"/>
        <i x="773" s="1"/>
        <i x="465" s="1"/>
        <i x="424" s="1"/>
        <i x="745" s="1"/>
        <i x="396" s="1"/>
        <i x="495" s="1"/>
        <i x="881" s="1"/>
        <i x="138" s="1"/>
        <i x="758" s="1"/>
        <i x="78" s="1"/>
        <i x="306" s="1"/>
        <i x="72" s="1"/>
        <i x="3" s="1"/>
        <i x="649" s="1"/>
        <i x="120" s="1"/>
        <i x="734" s="1"/>
        <i x="455" s="1"/>
        <i x="610" s="1"/>
        <i x="519" s="1"/>
        <i x="743" s="1"/>
        <i x="407" s="1"/>
        <i x="521" s="1"/>
        <i x="581" s="1"/>
        <i x="503" s="1"/>
        <i x="557" s="1"/>
        <i x="537" s="1"/>
        <i x="384" s="1"/>
        <i x="508" s="1"/>
        <i x="2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87B045A-85B7-4C9F-9430-50C4929F3D8F}" cache="Slicer_Region" caption="Region" rowHeight="241300"/>
  <slicer name="Sales" xr10:uid="{131C698A-E309-4009-9103-95686E40CE97}" cache="Slicer_Sales" caption="Sal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E925E5-1277-4C0F-9000-9E5D81833DB4}" name="Table_1" displayName="Table_1" ref="A1:M1201" headerRowDxfId="0">
  <tableColumns count="13">
    <tableColumn id="1" xr3:uid="{C5BA2B00-03E9-4C1B-A5EF-9A662B63A168}" name="OrderID"/>
    <tableColumn id="2" xr3:uid="{59FCD2CA-F0D7-4901-BBF4-E709237A7C2D}" name="Time"/>
    <tableColumn id="3" xr3:uid="{70FF146C-C0D3-42CF-AB68-9795736C4DBD}" name="Time 2"/>
    <tableColumn id="4" xr3:uid="{0AB01032-BCC8-49C0-B7CB-501FEEA7B9CF}" name="Date22"/>
    <tableColumn id="5" xr3:uid="{FDC392B3-E89F-475E-BA17-D3D8062BE0E5}" name="Customer"/>
    <tableColumn id="6" xr3:uid="{46898CA6-D65A-482C-89D3-F283CEA6E6A3}" name="Region"/>
    <tableColumn id="7" xr3:uid="{183CF103-F535-4362-98C4-4A827859E02A}" name="Category"/>
    <tableColumn id="8" xr3:uid="{F2F2E4D6-A2EE-49B3-886E-A10E84C67CD3}" name="Menu Item"/>
    <tableColumn id="9" xr3:uid="{2E3073F1-BBDF-4989-B91D-D9CD482F0612}" name="Quantity"/>
    <tableColumn id="10" xr3:uid="{5FA0A3F3-0366-4C11-891F-72A7160476BE}" name="Price"/>
    <tableColumn id="11" xr3:uid="{B0E3B39A-6011-4C0E-B952-42A33A1C1943}" name="Sales"/>
    <tableColumn id="12" xr3:uid="{3A6EEA43-7864-49C2-A1DA-6B84F62E462A}" name="Hour">
      <calculatedColumnFormula>HOUR([1]restaurant_sales_1200!$B2)</calculatedColumnFormula>
    </tableColumn>
    <tableColumn id="13" xr3:uid="{DBFD493A-0A55-43B3-AD65-E4551AB0A3B5}" name="Day">
      <calculatedColumnFormula>TEXT(A2,"dddd")</calculatedColumnFormula>
    </tableColumn>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4B73-72FC-4D01-AA2B-3D0AF74BF129}">
  <dimension ref="A3:J26"/>
  <sheetViews>
    <sheetView topLeftCell="A7" workbookViewId="0">
      <selection activeCell="G17" sqref="G17:H22"/>
    </sheetView>
  </sheetViews>
  <sheetFormatPr defaultRowHeight="15" x14ac:dyDescent="0.25"/>
  <cols>
    <col min="1" max="1" width="13.140625" bestFit="1" customWidth="1"/>
    <col min="2" max="2" width="12.140625" bestFit="1" customWidth="1"/>
    <col min="4" max="4" width="13.140625" bestFit="1" customWidth="1"/>
    <col min="5" max="6" width="15.42578125" bestFit="1" customWidth="1"/>
    <col min="7" max="7" width="13.140625" bestFit="1" customWidth="1"/>
    <col min="8" max="9" width="12" bestFit="1" customWidth="1"/>
  </cols>
  <sheetData>
    <row r="3" spans="1:10" x14ac:dyDescent="0.25">
      <c r="A3" s="17" t="s">
        <v>328</v>
      </c>
      <c r="B3" t="s">
        <v>343</v>
      </c>
      <c r="D3" s="17" t="s">
        <v>328</v>
      </c>
      <c r="E3" t="s">
        <v>343</v>
      </c>
      <c r="G3" s="17" t="s">
        <v>328</v>
      </c>
      <c r="H3" t="s">
        <v>343</v>
      </c>
      <c r="J3">
        <f>GETPIVOTDATA("Sales",$A$3)</f>
        <v>1968923</v>
      </c>
    </row>
    <row r="4" spans="1:10" x14ac:dyDescent="0.25">
      <c r="A4" s="18" t="s">
        <v>19</v>
      </c>
      <c r="B4" s="19">
        <v>514277</v>
      </c>
      <c r="D4" s="18" t="s">
        <v>344</v>
      </c>
      <c r="E4" s="19">
        <v>276278</v>
      </c>
      <c r="G4" s="18" t="s">
        <v>31</v>
      </c>
      <c r="H4" s="19">
        <v>195770</v>
      </c>
    </row>
    <row r="5" spans="1:10" x14ac:dyDescent="0.25">
      <c r="A5" s="18" t="s">
        <v>1</v>
      </c>
      <c r="B5" s="19">
        <v>489745</v>
      </c>
      <c r="D5" s="18" t="s">
        <v>345</v>
      </c>
      <c r="E5" s="19">
        <v>274908</v>
      </c>
      <c r="G5" s="18" t="s">
        <v>16</v>
      </c>
      <c r="H5" s="19">
        <v>181925</v>
      </c>
    </row>
    <row r="6" spans="1:10" x14ac:dyDescent="0.25">
      <c r="A6" s="18" t="s">
        <v>5</v>
      </c>
      <c r="B6" s="19">
        <v>438868</v>
      </c>
      <c r="D6" s="18" t="s">
        <v>346</v>
      </c>
      <c r="E6" s="19">
        <v>285825</v>
      </c>
      <c r="G6" s="18" t="s">
        <v>24</v>
      </c>
      <c r="H6" s="19">
        <v>236920</v>
      </c>
    </row>
    <row r="7" spans="1:10" x14ac:dyDescent="0.25">
      <c r="A7" s="18" t="s">
        <v>8</v>
      </c>
      <c r="B7" s="19">
        <v>526033</v>
      </c>
      <c r="D7" s="18" t="s">
        <v>347</v>
      </c>
      <c r="E7" s="19">
        <v>267748</v>
      </c>
      <c r="G7" s="18" t="s">
        <v>47</v>
      </c>
      <c r="H7" s="19">
        <v>194442</v>
      </c>
    </row>
    <row r="8" spans="1:10" x14ac:dyDescent="0.25">
      <c r="A8" s="18" t="s">
        <v>329</v>
      </c>
      <c r="B8" s="19">
        <v>1968923</v>
      </c>
      <c r="D8" s="18" t="s">
        <v>348</v>
      </c>
      <c r="E8" s="19">
        <v>276097</v>
      </c>
      <c r="G8" s="18" t="s">
        <v>33</v>
      </c>
      <c r="H8" s="19">
        <v>172592</v>
      </c>
    </row>
    <row r="9" spans="1:10" x14ac:dyDescent="0.25">
      <c r="D9" s="18" t="s">
        <v>349</v>
      </c>
      <c r="E9" s="19">
        <v>269889</v>
      </c>
      <c r="G9" s="18" t="s">
        <v>3</v>
      </c>
      <c r="H9" s="19">
        <v>191112</v>
      </c>
    </row>
    <row r="10" spans="1:10" x14ac:dyDescent="0.25">
      <c r="D10" s="18" t="s">
        <v>350</v>
      </c>
      <c r="E10" s="19">
        <v>318178</v>
      </c>
      <c r="G10" s="18" t="s">
        <v>20</v>
      </c>
      <c r="H10" s="19">
        <v>202218</v>
      </c>
    </row>
    <row r="11" spans="1:10" x14ac:dyDescent="0.25">
      <c r="A11" s="17" t="s">
        <v>328</v>
      </c>
      <c r="B11" t="s">
        <v>343</v>
      </c>
      <c r="D11" s="18" t="s">
        <v>329</v>
      </c>
      <c r="E11" s="19">
        <v>1968923</v>
      </c>
      <c r="G11" s="18" t="s">
        <v>26</v>
      </c>
      <c r="H11" s="19">
        <v>212526</v>
      </c>
    </row>
    <row r="12" spans="1:10" x14ac:dyDescent="0.25">
      <c r="A12" s="18" t="s">
        <v>331</v>
      </c>
      <c r="B12" s="19">
        <v>169442</v>
      </c>
      <c r="G12" s="18" t="s">
        <v>13</v>
      </c>
      <c r="H12" s="19">
        <v>184733</v>
      </c>
    </row>
    <row r="13" spans="1:10" x14ac:dyDescent="0.25">
      <c r="A13" s="18" t="s">
        <v>342</v>
      </c>
      <c r="B13" s="19">
        <v>144910</v>
      </c>
      <c r="G13" s="18" t="s">
        <v>10</v>
      </c>
      <c r="H13" s="19">
        <v>196685</v>
      </c>
    </row>
    <row r="14" spans="1:10" x14ac:dyDescent="0.25">
      <c r="A14" s="18" t="s">
        <v>332</v>
      </c>
      <c r="B14" s="19">
        <v>159235</v>
      </c>
      <c r="G14" s="18" t="s">
        <v>329</v>
      </c>
      <c r="H14" s="19">
        <v>1968923</v>
      </c>
    </row>
    <row r="15" spans="1:10" x14ac:dyDescent="0.25">
      <c r="A15" s="18" t="s">
        <v>333</v>
      </c>
      <c r="B15" s="19">
        <v>150250</v>
      </c>
      <c r="D15" s="17" t="s">
        <v>328</v>
      </c>
      <c r="E15" t="s">
        <v>330</v>
      </c>
    </row>
    <row r="16" spans="1:10" x14ac:dyDescent="0.25">
      <c r="A16" s="18" t="s">
        <v>334</v>
      </c>
      <c r="B16" s="19">
        <v>171650</v>
      </c>
      <c r="D16" s="18" t="s">
        <v>31</v>
      </c>
      <c r="E16" s="19">
        <v>354</v>
      </c>
    </row>
    <row r="17" spans="1:8" x14ac:dyDescent="0.25">
      <c r="A17" s="18" t="s">
        <v>335</v>
      </c>
      <c r="B17" s="19">
        <v>178237</v>
      </c>
      <c r="D17" s="18" t="s">
        <v>16</v>
      </c>
      <c r="E17" s="19">
        <v>345</v>
      </c>
      <c r="G17" s="17" t="s">
        <v>328</v>
      </c>
      <c r="H17" t="s">
        <v>351</v>
      </c>
    </row>
    <row r="18" spans="1:8" x14ac:dyDescent="0.25">
      <c r="A18" s="18" t="s">
        <v>336</v>
      </c>
      <c r="B18" s="19">
        <v>179630</v>
      </c>
      <c r="D18" s="18" t="s">
        <v>24</v>
      </c>
      <c r="E18" s="19">
        <v>409</v>
      </c>
      <c r="G18" s="18" t="s">
        <v>19</v>
      </c>
      <c r="H18" s="19">
        <v>168915</v>
      </c>
    </row>
    <row r="19" spans="1:8" x14ac:dyDescent="0.25">
      <c r="A19" s="18" t="s">
        <v>337</v>
      </c>
      <c r="B19" s="19">
        <v>155929</v>
      </c>
      <c r="D19" s="18" t="s">
        <v>47</v>
      </c>
      <c r="E19" s="19">
        <v>349</v>
      </c>
      <c r="G19" s="18" t="s">
        <v>1</v>
      </c>
      <c r="H19" s="19">
        <v>157897</v>
      </c>
    </row>
    <row r="20" spans="1:8" x14ac:dyDescent="0.25">
      <c r="A20" s="18" t="s">
        <v>338</v>
      </c>
      <c r="B20" s="19">
        <v>151007</v>
      </c>
      <c r="D20" s="18" t="s">
        <v>33</v>
      </c>
      <c r="E20" s="19">
        <v>320</v>
      </c>
      <c r="G20" s="18" t="s">
        <v>5</v>
      </c>
      <c r="H20" s="19">
        <v>151488</v>
      </c>
    </row>
    <row r="21" spans="1:8" x14ac:dyDescent="0.25">
      <c r="A21" s="18" t="s">
        <v>339</v>
      </c>
      <c r="B21" s="19">
        <v>173130</v>
      </c>
      <c r="D21" s="18" t="s">
        <v>3</v>
      </c>
      <c r="E21" s="19">
        <v>345</v>
      </c>
      <c r="G21" s="18" t="s">
        <v>8</v>
      </c>
      <c r="H21" s="19">
        <v>175506</v>
      </c>
    </row>
    <row r="22" spans="1:8" x14ac:dyDescent="0.25">
      <c r="A22" s="18" t="s">
        <v>340</v>
      </c>
      <c r="B22" s="19">
        <v>157836</v>
      </c>
      <c r="D22" s="18" t="s">
        <v>20</v>
      </c>
      <c r="E22" s="19">
        <v>369</v>
      </c>
      <c r="G22" s="18" t="s">
        <v>329</v>
      </c>
      <c r="H22" s="19">
        <v>653806</v>
      </c>
    </row>
    <row r="23" spans="1:8" x14ac:dyDescent="0.25">
      <c r="A23" s="18" t="s">
        <v>341</v>
      </c>
      <c r="B23" s="19">
        <v>177667</v>
      </c>
      <c r="D23" s="18" t="s">
        <v>26</v>
      </c>
      <c r="E23" s="19">
        <v>393</v>
      </c>
    </row>
    <row r="24" spans="1:8" x14ac:dyDescent="0.25">
      <c r="A24" s="18" t="s">
        <v>329</v>
      </c>
      <c r="B24" s="19">
        <v>1968923</v>
      </c>
      <c r="D24" s="18" t="s">
        <v>13</v>
      </c>
      <c r="E24" s="19">
        <v>336</v>
      </c>
    </row>
    <row r="25" spans="1:8" x14ac:dyDescent="0.25">
      <c r="D25" s="18" t="s">
        <v>10</v>
      </c>
      <c r="E25" s="19">
        <v>367</v>
      </c>
    </row>
    <row r="26" spans="1:8" x14ac:dyDescent="0.25">
      <c r="D26" s="18" t="s">
        <v>329</v>
      </c>
      <c r="E26" s="19">
        <v>3587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3B384-81E6-4F79-AAE2-19962B44F9B4}">
  <dimension ref="A1:M1201"/>
  <sheetViews>
    <sheetView topLeftCell="A2" workbookViewId="0">
      <selection sqref="A1:M1201"/>
    </sheetView>
  </sheetViews>
  <sheetFormatPr defaultRowHeight="15" x14ac:dyDescent="0.25"/>
  <cols>
    <col min="1" max="1" width="10.42578125" bestFit="1" customWidth="1"/>
    <col min="2" max="2" width="8.140625" bestFit="1" customWidth="1"/>
    <col min="3" max="3" width="8.85546875" bestFit="1" customWidth="1"/>
    <col min="4" max="4" width="10.42578125" bestFit="1" customWidth="1"/>
    <col min="5" max="5" width="13.7109375" bestFit="1" customWidth="1"/>
    <col min="7" max="7" width="12" bestFit="1" customWidth="1"/>
    <col min="8" max="8" width="13.42578125" bestFit="1" customWidth="1"/>
    <col min="9" max="9" width="11.28515625" bestFit="1" customWidth="1"/>
    <col min="10" max="10" width="7" bestFit="1" customWidth="1"/>
    <col min="11" max="11" width="7.140625" bestFit="1" customWidth="1"/>
    <col min="12" max="12" width="6.85546875" bestFit="1" customWidth="1"/>
    <col min="13" max="13" width="11.42578125" bestFit="1" customWidth="1"/>
  </cols>
  <sheetData>
    <row r="1" spans="1:13" ht="18.75" x14ac:dyDescent="0.25">
      <c r="A1" s="1" t="s">
        <v>315</v>
      </c>
      <c r="B1" s="2" t="s">
        <v>316</v>
      </c>
      <c r="C1" s="2" t="s">
        <v>317</v>
      </c>
      <c r="D1" s="3" t="s">
        <v>318</v>
      </c>
      <c r="E1" s="4" t="s">
        <v>319</v>
      </c>
      <c r="F1" s="4" t="s">
        <v>320</v>
      </c>
      <c r="G1" s="4" t="s">
        <v>321</v>
      </c>
      <c r="H1" s="4" t="s">
        <v>327</v>
      </c>
      <c r="I1" s="4" t="s">
        <v>322</v>
      </c>
      <c r="J1" s="4" t="s">
        <v>323</v>
      </c>
      <c r="K1" s="5" t="s">
        <v>324</v>
      </c>
      <c r="L1" s="4" t="s">
        <v>325</v>
      </c>
      <c r="M1" s="4" t="s">
        <v>326</v>
      </c>
    </row>
    <row r="2" spans="1:13" x14ac:dyDescent="0.25">
      <c r="A2" s="6">
        <v>1001</v>
      </c>
      <c r="B2" s="7">
        <v>44927</v>
      </c>
      <c r="C2" s="7">
        <v>44927</v>
      </c>
      <c r="D2" s="8">
        <v>44927</v>
      </c>
      <c r="E2" s="9" t="s">
        <v>0</v>
      </c>
      <c r="F2" s="9" t="s">
        <v>1</v>
      </c>
      <c r="G2" s="9" t="s">
        <v>2</v>
      </c>
      <c r="H2" s="9" t="s">
        <v>3</v>
      </c>
      <c r="I2" s="9">
        <v>4</v>
      </c>
      <c r="J2" s="9">
        <v>657</v>
      </c>
      <c r="K2" s="10">
        <v>2628</v>
      </c>
      <c r="L2" s="11">
        <f>HOUR([1]restaurant_sales_1200!$B2)</f>
        <v>0</v>
      </c>
      <c r="M2" s="11" t="str">
        <f t="shared" ref="M2:M256" si="0">TEXT(A2,"dddd")</f>
        <v>Saturday</v>
      </c>
    </row>
    <row r="3" spans="1:13" x14ac:dyDescent="0.25">
      <c r="A3" s="6">
        <v>1002</v>
      </c>
      <c r="B3" s="7">
        <v>44927.303586319445</v>
      </c>
      <c r="C3" s="7">
        <v>44927.303586319445</v>
      </c>
      <c r="D3" s="8">
        <v>44927.303586319445</v>
      </c>
      <c r="E3" s="9" t="s">
        <v>4</v>
      </c>
      <c r="F3" s="9" t="s">
        <v>5</v>
      </c>
      <c r="G3" s="9" t="s">
        <v>6</v>
      </c>
      <c r="H3" s="9" t="s">
        <v>3</v>
      </c>
      <c r="I3" s="9">
        <v>5</v>
      </c>
      <c r="J3" s="9">
        <v>675</v>
      </c>
      <c r="K3" s="10">
        <v>3375</v>
      </c>
      <c r="L3" s="9">
        <f>HOUR([1]restaurant_sales_1200!$B3)</f>
        <v>7</v>
      </c>
      <c r="M3" s="9" t="str">
        <f t="shared" si="0"/>
        <v>Sunday</v>
      </c>
    </row>
    <row r="4" spans="1:13" x14ac:dyDescent="0.25">
      <c r="A4" s="6">
        <v>1003</v>
      </c>
      <c r="B4" s="7">
        <v>44927.607172638891</v>
      </c>
      <c r="C4" s="7">
        <v>44927.607172638891</v>
      </c>
      <c r="D4" s="8">
        <v>44927.607172638891</v>
      </c>
      <c r="E4" s="9" t="s">
        <v>7</v>
      </c>
      <c r="F4" s="9" t="s">
        <v>8</v>
      </c>
      <c r="G4" s="9" t="s">
        <v>9</v>
      </c>
      <c r="H4" s="9" t="s">
        <v>10</v>
      </c>
      <c r="I4" s="9">
        <v>3</v>
      </c>
      <c r="J4" s="9">
        <v>229</v>
      </c>
      <c r="K4" s="10">
        <v>687</v>
      </c>
      <c r="L4" s="9">
        <f>HOUR([1]restaurant_sales_1200!$B4)</f>
        <v>14</v>
      </c>
      <c r="M4" s="9" t="str">
        <f t="shared" si="0"/>
        <v>Monday</v>
      </c>
    </row>
    <row r="5" spans="1:13" x14ac:dyDescent="0.25">
      <c r="A5" s="6">
        <v>1004</v>
      </c>
      <c r="B5" s="7">
        <v>44927.910758969905</v>
      </c>
      <c r="C5" s="7">
        <v>44927.910758969905</v>
      </c>
      <c r="D5" s="8">
        <v>44927.910758969905</v>
      </c>
      <c r="E5" s="9" t="s">
        <v>11</v>
      </c>
      <c r="F5" s="9" t="s">
        <v>1</v>
      </c>
      <c r="G5" s="9" t="s">
        <v>6</v>
      </c>
      <c r="H5" s="9" t="s">
        <v>10</v>
      </c>
      <c r="I5" s="9">
        <v>5</v>
      </c>
      <c r="J5" s="9">
        <v>921</v>
      </c>
      <c r="K5" s="10">
        <v>4605</v>
      </c>
      <c r="L5" s="9">
        <f>HOUR([1]restaurant_sales_1200!$B5)</f>
        <v>21</v>
      </c>
      <c r="M5" s="9" t="str">
        <f t="shared" si="0"/>
        <v>Tuesday</v>
      </c>
    </row>
    <row r="6" spans="1:13" x14ac:dyDescent="0.25">
      <c r="A6" s="6">
        <v>1005</v>
      </c>
      <c r="B6" s="7">
        <v>44928.214345289351</v>
      </c>
      <c r="C6" s="7">
        <v>44928.214345289351</v>
      </c>
      <c r="D6" s="8">
        <v>44928.214345289351</v>
      </c>
      <c r="E6" s="9" t="s">
        <v>12</v>
      </c>
      <c r="F6" s="9" t="s">
        <v>1</v>
      </c>
      <c r="G6" s="9" t="s">
        <v>2</v>
      </c>
      <c r="H6" s="9" t="s">
        <v>13</v>
      </c>
      <c r="I6" s="9">
        <v>5</v>
      </c>
      <c r="J6" s="9">
        <v>462</v>
      </c>
      <c r="K6" s="10">
        <v>2310</v>
      </c>
      <c r="L6" s="9">
        <f>HOUR([1]restaurant_sales_1200!$B6)</f>
        <v>5</v>
      </c>
      <c r="M6" s="9" t="str">
        <f t="shared" si="0"/>
        <v>Wednesday</v>
      </c>
    </row>
    <row r="7" spans="1:13" x14ac:dyDescent="0.25">
      <c r="A7" s="6">
        <v>1006</v>
      </c>
      <c r="B7" s="7">
        <v>44928.517931608796</v>
      </c>
      <c r="C7" s="7">
        <v>44928.517931608796</v>
      </c>
      <c r="D7" s="8">
        <v>44928.517931608796</v>
      </c>
      <c r="E7" s="9" t="s">
        <v>14</v>
      </c>
      <c r="F7" s="9" t="s">
        <v>8</v>
      </c>
      <c r="G7" s="9" t="s">
        <v>15</v>
      </c>
      <c r="H7" s="9" t="s">
        <v>16</v>
      </c>
      <c r="I7" s="9">
        <v>2</v>
      </c>
      <c r="J7" s="9">
        <v>804</v>
      </c>
      <c r="K7" s="10">
        <v>1608</v>
      </c>
      <c r="L7" s="9">
        <f>HOUR([1]restaurant_sales_1200!$B7)</f>
        <v>12</v>
      </c>
      <c r="M7" s="9" t="str">
        <f t="shared" si="0"/>
        <v>Thursday</v>
      </c>
    </row>
    <row r="8" spans="1:13" x14ac:dyDescent="0.25">
      <c r="A8" s="6">
        <v>1007</v>
      </c>
      <c r="B8" s="7">
        <v>44928.821517928242</v>
      </c>
      <c r="C8" s="7">
        <v>44928.821517928242</v>
      </c>
      <c r="D8" s="8">
        <v>44928.821517928242</v>
      </c>
      <c r="E8" s="9" t="s">
        <v>17</v>
      </c>
      <c r="F8" s="9" t="s">
        <v>8</v>
      </c>
      <c r="G8" s="9" t="s">
        <v>2</v>
      </c>
      <c r="H8" s="9" t="s">
        <v>3</v>
      </c>
      <c r="I8" s="9">
        <v>3</v>
      </c>
      <c r="J8" s="9">
        <v>918</v>
      </c>
      <c r="K8" s="10">
        <v>2754</v>
      </c>
      <c r="L8" s="9">
        <f>HOUR([1]restaurant_sales_1200!$B8)</f>
        <v>19</v>
      </c>
      <c r="M8" s="9" t="str">
        <f t="shared" si="0"/>
        <v>Friday</v>
      </c>
    </row>
    <row r="9" spans="1:13" x14ac:dyDescent="0.25">
      <c r="A9" s="6">
        <v>1008</v>
      </c>
      <c r="B9" s="7">
        <v>44929.125104259256</v>
      </c>
      <c r="C9" s="7">
        <v>44929.125104259256</v>
      </c>
      <c r="D9" s="8">
        <v>44929.125104259256</v>
      </c>
      <c r="E9" s="9" t="s">
        <v>18</v>
      </c>
      <c r="F9" s="9" t="s">
        <v>19</v>
      </c>
      <c r="G9" s="9" t="s">
        <v>15</v>
      </c>
      <c r="H9" s="9" t="s">
        <v>20</v>
      </c>
      <c r="I9" s="9">
        <v>3</v>
      </c>
      <c r="J9" s="9">
        <v>792</v>
      </c>
      <c r="K9" s="10">
        <v>2376</v>
      </c>
      <c r="L9" s="9">
        <f>HOUR([1]restaurant_sales_1200!$B9)</f>
        <v>3</v>
      </c>
      <c r="M9" s="9" t="str">
        <f t="shared" si="0"/>
        <v>Saturday</v>
      </c>
    </row>
    <row r="10" spans="1:13" x14ac:dyDescent="0.25">
      <c r="A10" s="6">
        <v>1009</v>
      </c>
      <c r="B10" s="7">
        <v>44929.428690578701</v>
      </c>
      <c r="C10" s="7">
        <v>44929.428690578701</v>
      </c>
      <c r="D10" s="8">
        <v>44929.428690578701</v>
      </c>
      <c r="E10" s="9" t="s">
        <v>21</v>
      </c>
      <c r="F10" s="9" t="s">
        <v>1</v>
      </c>
      <c r="G10" s="9" t="s">
        <v>2</v>
      </c>
      <c r="H10" s="9" t="s">
        <v>16</v>
      </c>
      <c r="I10" s="9">
        <v>3</v>
      </c>
      <c r="J10" s="9">
        <v>391</v>
      </c>
      <c r="K10" s="10">
        <v>1173</v>
      </c>
      <c r="L10" s="9">
        <f>HOUR([1]restaurant_sales_1200!$B10)</f>
        <v>10</v>
      </c>
      <c r="M10" s="9" t="str">
        <f t="shared" si="0"/>
        <v>Sunday</v>
      </c>
    </row>
    <row r="11" spans="1:13" x14ac:dyDescent="0.25">
      <c r="A11" s="6">
        <v>1010</v>
      </c>
      <c r="B11" s="7">
        <v>44929.732276898147</v>
      </c>
      <c r="C11" s="7">
        <v>44929.732276898147</v>
      </c>
      <c r="D11" s="8">
        <v>44929.732276898147</v>
      </c>
      <c r="E11" s="9" t="s">
        <v>22</v>
      </c>
      <c r="F11" s="9" t="s">
        <v>8</v>
      </c>
      <c r="G11" s="9" t="s">
        <v>9</v>
      </c>
      <c r="H11" s="9" t="s">
        <v>3</v>
      </c>
      <c r="I11" s="9">
        <v>5</v>
      </c>
      <c r="J11" s="9">
        <v>470</v>
      </c>
      <c r="K11" s="10">
        <v>2350</v>
      </c>
      <c r="L11" s="9">
        <f>HOUR([1]restaurant_sales_1200!$B11)</f>
        <v>17</v>
      </c>
      <c r="M11" s="9" t="str">
        <f t="shared" si="0"/>
        <v>Monday</v>
      </c>
    </row>
    <row r="12" spans="1:13" x14ac:dyDescent="0.25">
      <c r="A12" s="6">
        <v>1011</v>
      </c>
      <c r="B12" s="7">
        <v>44930.035863217592</v>
      </c>
      <c r="C12" s="7">
        <v>44930.035863217592</v>
      </c>
      <c r="D12" s="8">
        <v>44930.035863217592</v>
      </c>
      <c r="E12" s="9" t="s">
        <v>23</v>
      </c>
      <c r="F12" s="9" t="s">
        <v>5</v>
      </c>
      <c r="G12" s="9" t="s">
        <v>15</v>
      </c>
      <c r="H12" s="9" t="s">
        <v>24</v>
      </c>
      <c r="I12" s="9">
        <v>4</v>
      </c>
      <c r="J12" s="9">
        <v>893</v>
      </c>
      <c r="K12" s="10">
        <v>3572</v>
      </c>
      <c r="L12" s="9">
        <f>HOUR([1]restaurant_sales_1200!$B12)</f>
        <v>0</v>
      </c>
      <c r="M12" s="9" t="str">
        <f t="shared" si="0"/>
        <v>Tuesday</v>
      </c>
    </row>
    <row r="13" spans="1:13" x14ac:dyDescent="0.25">
      <c r="A13" s="6">
        <v>1012</v>
      </c>
      <c r="B13" s="7">
        <v>44930.339449537038</v>
      </c>
      <c r="C13" s="7">
        <v>44930.339449537038</v>
      </c>
      <c r="D13" s="8">
        <v>44930.339449537038</v>
      </c>
      <c r="E13" s="9" t="s">
        <v>25</v>
      </c>
      <c r="F13" s="9" t="s">
        <v>1</v>
      </c>
      <c r="G13" s="9" t="s">
        <v>15</v>
      </c>
      <c r="H13" s="9" t="s">
        <v>26</v>
      </c>
      <c r="I13" s="9">
        <v>3</v>
      </c>
      <c r="J13" s="9">
        <v>128</v>
      </c>
      <c r="K13" s="10">
        <v>384</v>
      </c>
      <c r="L13" s="9">
        <f>HOUR([1]restaurant_sales_1200!$B13)</f>
        <v>8</v>
      </c>
      <c r="M13" s="9" t="str">
        <f t="shared" si="0"/>
        <v>Wednesday</v>
      </c>
    </row>
    <row r="14" spans="1:13" x14ac:dyDescent="0.25">
      <c r="A14" s="6">
        <v>1013</v>
      </c>
      <c r="B14" s="7">
        <v>44930.643035868059</v>
      </c>
      <c r="C14" s="7">
        <v>44930.643035868059</v>
      </c>
      <c r="D14" s="8">
        <v>44930.643035868059</v>
      </c>
      <c r="E14" s="9" t="s">
        <v>27</v>
      </c>
      <c r="F14" s="9" t="s">
        <v>19</v>
      </c>
      <c r="G14" s="9" t="s">
        <v>6</v>
      </c>
      <c r="H14" s="9" t="s">
        <v>10</v>
      </c>
      <c r="I14" s="9">
        <v>5</v>
      </c>
      <c r="J14" s="9">
        <v>248</v>
      </c>
      <c r="K14" s="10">
        <v>1240</v>
      </c>
      <c r="L14" s="9">
        <f>HOUR([1]restaurant_sales_1200!$B14)</f>
        <v>15</v>
      </c>
      <c r="M14" s="9" t="str">
        <f t="shared" si="0"/>
        <v>Thursday</v>
      </c>
    </row>
    <row r="15" spans="1:13" x14ac:dyDescent="0.25">
      <c r="A15" s="6">
        <v>1014</v>
      </c>
      <c r="B15" s="7">
        <v>44930.946622187497</v>
      </c>
      <c r="C15" s="7">
        <v>44930.946622187497</v>
      </c>
      <c r="D15" s="8">
        <v>44930.946622187497</v>
      </c>
      <c r="E15" s="9" t="s">
        <v>28</v>
      </c>
      <c r="F15" s="9" t="s">
        <v>8</v>
      </c>
      <c r="G15" s="9" t="s">
        <v>2</v>
      </c>
      <c r="H15" s="9" t="s">
        <v>26</v>
      </c>
      <c r="I15" s="9">
        <v>2</v>
      </c>
      <c r="J15" s="9">
        <v>878</v>
      </c>
      <c r="K15" s="10">
        <v>1756</v>
      </c>
      <c r="L15" s="9">
        <f>HOUR([1]restaurant_sales_1200!$B15)</f>
        <v>22</v>
      </c>
      <c r="M15" s="9" t="str">
        <f t="shared" si="0"/>
        <v>Friday</v>
      </c>
    </row>
    <row r="16" spans="1:13" x14ac:dyDescent="0.25">
      <c r="A16" s="6">
        <v>1015</v>
      </c>
      <c r="B16" s="7">
        <v>44931.250208506943</v>
      </c>
      <c r="C16" s="7">
        <v>44931.250208506943</v>
      </c>
      <c r="D16" s="8">
        <v>44931.250208506943</v>
      </c>
      <c r="E16" s="9" t="s">
        <v>29</v>
      </c>
      <c r="F16" s="9" t="s">
        <v>1</v>
      </c>
      <c r="G16" s="9" t="s">
        <v>30</v>
      </c>
      <c r="H16" s="9" t="s">
        <v>31</v>
      </c>
      <c r="I16" s="9">
        <v>4</v>
      </c>
      <c r="J16" s="9">
        <v>395</v>
      </c>
      <c r="K16" s="10">
        <v>1580</v>
      </c>
      <c r="L16" s="9">
        <f>HOUR([1]restaurant_sales_1200!$B16)</f>
        <v>6</v>
      </c>
      <c r="M16" s="9" t="str">
        <f t="shared" si="0"/>
        <v>Saturday</v>
      </c>
    </row>
    <row r="17" spans="1:13" x14ac:dyDescent="0.25">
      <c r="A17" s="6">
        <v>1016</v>
      </c>
      <c r="B17" s="7">
        <v>44931.553794826388</v>
      </c>
      <c r="C17" s="7">
        <v>44931.553794826388</v>
      </c>
      <c r="D17" s="8">
        <v>44931.553794826388</v>
      </c>
      <c r="E17" s="9" t="s">
        <v>32</v>
      </c>
      <c r="F17" s="9" t="s">
        <v>1</v>
      </c>
      <c r="G17" s="9" t="s">
        <v>30</v>
      </c>
      <c r="H17" s="9" t="s">
        <v>33</v>
      </c>
      <c r="I17" s="9">
        <v>2</v>
      </c>
      <c r="J17" s="9">
        <v>110</v>
      </c>
      <c r="K17" s="10">
        <v>220</v>
      </c>
      <c r="L17" s="9">
        <f>HOUR([1]restaurant_sales_1200!$B17)</f>
        <v>13</v>
      </c>
      <c r="M17" s="9" t="str">
        <f t="shared" si="0"/>
        <v>Sunday</v>
      </c>
    </row>
    <row r="18" spans="1:13" x14ac:dyDescent="0.25">
      <c r="A18" s="6">
        <v>1017</v>
      </c>
      <c r="B18" s="7">
        <v>44931.857381145834</v>
      </c>
      <c r="C18" s="7">
        <v>44931.857381145834</v>
      </c>
      <c r="D18" s="8">
        <v>44931.857381145834</v>
      </c>
      <c r="E18" s="9" t="s">
        <v>34</v>
      </c>
      <c r="F18" s="9" t="s">
        <v>8</v>
      </c>
      <c r="G18" s="9" t="s">
        <v>6</v>
      </c>
      <c r="H18" s="9" t="s">
        <v>24</v>
      </c>
      <c r="I18" s="9">
        <v>4</v>
      </c>
      <c r="J18" s="9">
        <v>611</v>
      </c>
      <c r="K18" s="10">
        <v>2444</v>
      </c>
      <c r="L18" s="9">
        <f>HOUR([1]restaurant_sales_1200!$B18)</f>
        <v>20</v>
      </c>
      <c r="M18" s="9" t="str">
        <f t="shared" si="0"/>
        <v>Monday</v>
      </c>
    </row>
    <row r="19" spans="1:13" x14ac:dyDescent="0.25">
      <c r="A19" s="6">
        <v>1018</v>
      </c>
      <c r="B19" s="7">
        <v>44932.160967476855</v>
      </c>
      <c r="C19" s="7">
        <v>44932.160967476855</v>
      </c>
      <c r="D19" s="8">
        <v>44932.160967476855</v>
      </c>
      <c r="E19" s="9" t="s">
        <v>35</v>
      </c>
      <c r="F19" s="9" t="s">
        <v>8</v>
      </c>
      <c r="G19" s="9" t="s">
        <v>2</v>
      </c>
      <c r="H19" s="9" t="s">
        <v>13</v>
      </c>
      <c r="I19" s="9">
        <v>5</v>
      </c>
      <c r="J19" s="9">
        <v>775</v>
      </c>
      <c r="K19" s="10">
        <v>3875</v>
      </c>
      <c r="L19" s="9">
        <f>HOUR([1]restaurant_sales_1200!$B19)</f>
        <v>3</v>
      </c>
      <c r="M19" s="9" t="str">
        <f t="shared" si="0"/>
        <v>Tuesday</v>
      </c>
    </row>
    <row r="20" spans="1:13" x14ac:dyDescent="0.25">
      <c r="A20" s="6">
        <v>1019</v>
      </c>
      <c r="B20" s="7">
        <v>44932.464553796293</v>
      </c>
      <c r="C20" s="7">
        <v>44932.464553796293</v>
      </c>
      <c r="D20" s="8">
        <v>44932.464553796293</v>
      </c>
      <c r="E20" s="9" t="s">
        <v>36</v>
      </c>
      <c r="F20" s="9" t="s">
        <v>8</v>
      </c>
      <c r="G20" s="9" t="s">
        <v>9</v>
      </c>
      <c r="H20" s="9" t="s">
        <v>24</v>
      </c>
      <c r="I20" s="9">
        <v>1</v>
      </c>
      <c r="J20" s="9">
        <v>212</v>
      </c>
      <c r="K20" s="10">
        <v>212</v>
      </c>
      <c r="L20" s="9">
        <f>HOUR([1]restaurant_sales_1200!$B20)</f>
        <v>11</v>
      </c>
      <c r="M20" s="9" t="str">
        <f t="shared" si="0"/>
        <v>Wednesday</v>
      </c>
    </row>
    <row r="21" spans="1:13" x14ac:dyDescent="0.25">
      <c r="A21" s="6">
        <v>1020</v>
      </c>
      <c r="B21" s="7">
        <v>44932.768140115739</v>
      </c>
      <c r="C21" s="7">
        <v>44932.768140115739</v>
      </c>
      <c r="D21" s="8">
        <v>44932.768140115739</v>
      </c>
      <c r="E21" s="9" t="s">
        <v>18</v>
      </c>
      <c r="F21" s="9" t="s">
        <v>1</v>
      </c>
      <c r="G21" s="9" t="s">
        <v>6</v>
      </c>
      <c r="H21" s="9" t="s">
        <v>26</v>
      </c>
      <c r="I21" s="9">
        <v>4</v>
      </c>
      <c r="J21" s="9">
        <v>286</v>
      </c>
      <c r="K21" s="10">
        <v>1144</v>
      </c>
      <c r="L21" s="9">
        <f>HOUR([1]restaurant_sales_1200!$B21)</f>
        <v>18</v>
      </c>
      <c r="M21" s="9" t="str">
        <f t="shared" si="0"/>
        <v>Thursday</v>
      </c>
    </row>
    <row r="22" spans="1:13" x14ac:dyDescent="0.25">
      <c r="A22" s="6">
        <v>1021</v>
      </c>
      <c r="B22" s="7">
        <v>44933.071726435184</v>
      </c>
      <c r="C22" s="7">
        <v>44933.071726435184</v>
      </c>
      <c r="D22" s="8">
        <v>44933.071726435184</v>
      </c>
      <c r="E22" s="9" t="s">
        <v>37</v>
      </c>
      <c r="F22" s="9" t="s">
        <v>8</v>
      </c>
      <c r="G22" s="9" t="s">
        <v>15</v>
      </c>
      <c r="H22" s="9" t="s">
        <v>26</v>
      </c>
      <c r="I22" s="9">
        <v>2</v>
      </c>
      <c r="J22" s="9">
        <v>906</v>
      </c>
      <c r="K22" s="10">
        <v>1812</v>
      </c>
      <c r="L22" s="9">
        <f>HOUR([1]restaurant_sales_1200!$B22)</f>
        <v>1</v>
      </c>
      <c r="M22" s="9" t="str">
        <f t="shared" si="0"/>
        <v>Friday</v>
      </c>
    </row>
    <row r="23" spans="1:13" x14ac:dyDescent="0.25">
      <c r="A23" s="6">
        <v>1022</v>
      </c>
      <c r="B23" s="7">
        <v>44933.375312766206</v>
      </c>
      <c r="C23" s="7">
        <v>44933.375312766206</v>
      </c>
      <c r="D23" s="8">
        <v>44933.375312766206</v>
      </c>
      <c r="E23" s="9" t="s">
        <v>38</v>
      </c>
      <c r="F23" s="9" t="s">
        <v>8</v>
      </c>
      <c r="G23" s="9" t="s">
        <v>9</v>
      </c>
      <c r="H23" s="9" t="s">
        <v>3</v>
      </c>
      <c r="I23" s="9">
        <v>5</v>
      </c>
      <c r="J23" s="9">
        <v>843</v>
      </c>
      <c r="K23" s="10">
        <v>4215</v>
      </c>
      <c r="L23" s="9">
        <f>HOUR([1]restaurant_sales_1200!$B23)</f>
        <v>9</v>
      </c>
      <c r="M23" s="9" t="str">
        <f t="shared" si="0"/>
        <v>Saturday</v>
      </c>
    </row>
    <row r="24" spans="1:13" x14ac:dyDescent="0.25">
      <c r="A24" s="6">
        <v>1023</v>
      </c>
      <c r="B24" s="7">
        <v>44933.678899085651</v>
      </c>
      <c r="C24" s="7">
        <v>44933.678899085651</v>
      </c>
      <c r="D24" s="8">
        <v>44933.678899085651</v>
      </c>
      <c r="E24" s="9" t="s">
        <v>39</v>
      </c>
      <c r="F24" s="9" t="s">
        <v>1</v>
      </c>
      <c r="G24" s="9" t="s">
        <v>2</v>
      </c>
      <c r="H24" s="9" t="s">
        <v>3</v>
      </c>
      <c r="I24" s="9">
        <v>4</v>
      </c>
      <c r="J24" s="9">
        <v>326</v>
      </c>
      <c r="K24" s="10">
        <v>1304</v>
      </c>
      <c r="L24" s="9">
        <f>HOUR([1]restaurant_sales_1200!$B24)</f>
        <v>16</v>
      </c>
      <c r="M24" s="9" t="str">
        <f t="shared" si="0"/>
        <v>Sunday</v>
      </c>
    </row>
    <row r="25" spans="1:13" x14ac:dyDescent="0.25">
      <c r="A25" s="6">
        <v>1024</v>
      </c>
      <c r="B25" s="7">
        <v>44933.982485405089</v>
      </c>
      <c r="C25" s="7">
        <v>44933.982485405089</v>
      </c>
      <c r="D25" s="8">
        <v>44933.982485405089</v>
      </c>
      <c r="E25" s="9" t="s">
        <v>40</v>
      </c>
      <c r="F25" s="9" t="s">
        <v>1</v>
      </c>
      <c r="G25" s="9" t="s">
        <v>15</v>
      </c>
      <c r="H25" s="9" t="s">
        <v>31</v>
      </c>
      <c r="I25" s="9">
        <v>1</v>
      </c>
      <c r="J25" s="9">
        <v>409</v>
      </c>
      <c r="K25" s="10">
        <v>409</v>
      </c>
      <c r="L25" s="9">
        <f>HOUR([1]restaurant_sales_1200!$B25)</f>
        <v>23</v>
      </c>
      <c r="M25" s="9" t="str">
        <f t="shared" si="0"/>
        <v>Monday</v>
      </c>
    </row>
    <row r="26" spans="1:13" x14ac:dyDescent="0.25">
      <c r="A26" s="6">
        <v>1025</v>
      </c>
      <c r="B26" s="7">
        <v>44934.286071724535</v>
      </c>
      <c r="C26" s="7">
        <v>44934.286071724535</v>
      </c>
      <c r="D26" s="8">
        <v>44934.286071724535</v>
      </c>
      <c r="E26" s="9" t="s">
        <v>41</v>
      </c>
      <c r="F26" s="9" t="s">
        <v>19</v>
      </c>
      <c r="G26" s="9" t="s">
        <v>30</v>
      </c>
      <c r="H26" s="9" t="s">
        <v>16</v>
      </c>
      <c r="I26" s="9">
        <v>1</v>
      </c>
      <c r="J26" s="9">
        <v>197</v>
      </c>
      <c r="K26" s="10">
        <v>197</v>
      </c>
      <c r="L26" s="9">
        <f>HOUR([1]restaurant_sales_1200!$B26)</f>
        <v>6</v>
      </c>
      <c r="M26" s="9" t="str">
        <f t="shared" si="0"/>
        <v>Tuesday</v>
      </c>
    </row>
    <row r="27" spans="1:13" x14ac:dyDescent="0.25">
      <c r="A27" s="6">
        <v>1026</v>
      </c>
      <c r="B27" s="7">
        <v>44934.58965804398</v>
      </c>
      <c r="C27" s="7">
        <v>44934.58965804398</v>
      </c>
      <c r="D27" s="8">
        <v>44934.58965804398</v>
      </c>
      <c r="E27" s="9" t="s">
        <v>42</v>
      </c>
      <c r="F27" s="9" t="s">
        <v>5</v>
      </c>
      <c r="G27" s="9" t="s">
        <v>2</v>
      </c>
      <c r="H27" s="9" t="s">
        <v>31</v>
      </c>
      <c r="I27" s="9">
        <v>3</v>
      </c>
      <c r="J27" s="9">
        <v>154</v>
      </c>
      <c r="K27" s="10">
        <v>462</v>
      </c>
      <c r="L27" s="9">
        <f>HOUR([1]restaurant_sales_1200!$B27)</f>
        <v>14</v>
      </c>
      <c r="M27" s="9" t="str">
        <f t="shared" si="0"/>
        <v>Wednesday</v>
      </c>
    </row>
    <row r="28" spans="1:13" x14ac:dyDescent="0.25">
      <c r="A28" s="6">
        <v>1027</v>
      </c>
      <c r="B28" s="7">
        <v>44934.893244375002</v>
      </c>
      <c r="C28" s="7">
        <v>44934.893244375002</v>
      </c>
      <c r="D28" s="8">
        <v>44934.893244375002</v>
      </c>
      <c r="E28" s="9" t="s">
        <v>22</v>
      </c>
      <c r="F28" s="9" t="s">
        <v>1</v>
      </c>
      <c r="G28" s="9" t="s">
        <v>15</v>
      </c>
      <c r="H28" s="9" t="s">
        <v>13</v>
      </c>
      <c r="I28" s="9">
        <v>3</v>
      </c>
      <c r="J28" s="9">
        <v>722</v>
      </c>
      <c r="K28" s="10">
        <v>2166</v>
      </c>
      <c r="L28" s="9">
        <f>HOUR([1]restaurant_sales_1200!$B28)</f>
        <v>21</v>
      </c>
      <c r="M28" s="9" t="str">
        <f t="shared" si="0"/>
        <v>Thursday</v>
      </c>
    </row>
    <row r="29" spans="1:13" x14ac:dyDescent="0.25">
      <c r="A29" s="6">
        <v>1028</v>
      </c>
      <c r="B29" s="7">
        <v>44935.196830694447</v>
      </c>
      <c r="C29" s="7">
        <v>44935.196830694447</v>
      </c>
      <c r="D29" s="8">
        <v>44935.196830694447</v>
      </c>
      <c r="E29" s="9" t="s">
        <v>43</v>
      </c>
      <c r="F29" s="9" t="s">
        <v>5</v>
      </c>
      <c r="G29" s="9" t="s">
        <v>2</v>
      </c>
      <c r="H29" s="9" t="s">
        <v>3</v>
      </c>
      <c r="I29" s="9">
        <v>2</v>
      </c>
      <c r="J29" s="9">
        <v>763</v>
      </c>
      <c r="K29" s="10">
        <v>1526</v>
      </c>
      <c r="L29" s="9">
        <f>HOUR([1]restaurant_sales_1200!$B29)</f>
        <v>4</v>
      </c>
      <c r="M29" s="9" t="str">
        <f t="shared" si="0"/>
        <v>Friday</v>
      </c>
    </row>
    <row r="30" spans="1:13" x14ac:dyDescent="0.25">
      <c r="A30" s="6">
        <v>1029</v>
      </c>
      <c r="B30" s="7">
        <v>44935.500417013885</v>
      </c>
      <c r="C30" s="7">
        <v>44935.500417013885</v>
      </c>
      <c r="D30" s="8">
        <v>44935.500417013885</v>
      </c>
      <c r="E30" s="9" t="s">
        <v>40</v>
      </c>
      <c r="F30" s="9" t="s">
        <v>19</v>
      </c>
      <c r="G30" s="9" t="s">
        <v>15</v>
      </c>
      <c r="H30" s="9" t="s">
        <v>13</v>
      </c>
      <c r="I30" s="9">
        <v>4</v>
      </c>
      <c r="J30" s="9">
        <v>857</v>
      </c>
      <c r="K30" s="10">
        <v>3428</v>
      </c>
      <c r="L30" s="9">
        <f>HOUR([1]restaurant_sales_1200!$B30)</f>
        <v>12</v>
      </c>
      <c r="M30" s="9" t="str">
        <f t="shared" si="0"/>
        <v>Saturday</v>
      </c>
    </row>
    <row r="31" spans="1:13" x14ac:dyDescent="0.25">
      <c r="A31" s="6">
        <v>1030</v>
      </c>
      <c r="B31" s="7">
        <v>44935.804003333331</v>
      </c>
      <c r="C31" s="7">
        <v>44935.804003333331</v>
      </c>
      <c r="D31" s="8">
        <v>44935.804003333331</v>
      </c>
      <c r="E31" s="9" t="s">
        <v>44</v>
      </c>
      <c r="F31" s="9" t="s">
        <v>19</v>
      </c>
      <c r="G31" s="9" t="s">
        <v>2</v>
      </c>
      <c r="H31" s="9" t="s">
        <v>3</v>
      </c>
      <c r="I31" s="9">
        <v>4</v>
      </c>
      <c r="J31" s="9">
        <v>505</v>
      </c>
      <c r="K31" s="10">
        <v>2020</v>
      </c>
      <c r="L31" s="9">
        <f>HOUR([1]restaurant_sales_1200!$B31)</f>
        <v>19</v>
      </c>
      <c r="M31" s="9" t="str">
        <f t="shared" si="0"/>
        <v>Sunday</v>
      </c>
    </row>
    <row r="32" spans="1:13" x14ac:dyDescent="0.25">
      <c r="A32" s="6">
        <v>1031</v>
      </c>
      <c r="B32" s="7">
        <v>44936.107589652776</v>
      </c>
      <c r="C32" s="7">
        <v>44936.107589652776</v>
      </c>
      <c r="D32" s="8">
        <v>44936.107589652776</v>
      </c>
      <c r="E32" s="9" t="s">
        <v>45</v>
      </c>
      <c r="F32" s="9" t="s">
        <v>8</v>
      </c>
      <c r="G32" s="9" t="s">
        <v>30</v>
      </c>
      <c r="H32" s="9" t="s">
        <v>3</v>
      </c>
      <c r="I32" s="9">
        <v>3</v>
      </c>
      <c r="J32" s="9">
        <v>168</v>
      </c>
      <c r="K32" s="10">
        <v>504</v>
      </c>
      <c r="L32" s="9">
        <f>HOUR([1]restaurant_sales_1200!$B32)</f>
        <v>2</v>
      </c>
      <c r="M32" s="9" t="str">
        <f t="shared" si="0"/>
        <v>Monday</v>
      </c>
    </row>
    <row r="33" spans="1:13" x14ac:dyDescent="0.25">
      <c r="A33" s="6">
        <v>1032</v>
      </c>
      <c r="B33" s="7">
        <v>44936.411175983798</v>
      </c>
      <c r="C33" s="7">
        <v>44936.411175983798</v>
      </c>
      <c r="D33" s="8">
        <v>44936.411175983798</v>
      </c>
      <c r="E33" s="9" t="s">
        <v>46</v>
      </c>
      <c r="F33" s="9" t="s">
        <v>19</v>
      </c>
      <c r="G33" s="9" t="s">
        <v>6</v>
      </c>
      <c r="H33" s="9" t="s">
        <v>3</v>
      </c>
      <c r="I33" s="9">
        <v>4</v>
      </c>
      <c r="J33" s="9">
        <v>411</v>
      </c>
      <c r="K33" s="10">
        <v>1644</v>
      </c>
      <c r="L33" s="9">
        <f>HOUR([1]restaurant_sales_1200!$B33)</f>
        <v>9</v>
      </c>
      <c r="M33" s="9" t="str">
        <f t="shared" si="0"/>
        <v>Tuesday</v>
      </c>
    </row>
    <row r="34" spans="1:13" x14ac:dyDescent="0.25">
      <c r="A34" s="6">
        <v>1033</v>
      </c>
      <c r="B34" s="7">
        <v>44936.714762303243</v>
      </c>
      <c r="C34" s="7">
        <v>44936.714762303243</v>
      </c>
      <c r="D34" s="8">
        <v>44936.714762303243</v>
      </c>
      <c r="E34" s="9" t="s">
        <v>17</v>
      </c>
      <c r="F34" s="9" t="s">
        <v>8</v>
      </c>
      <c r="G34" s="9" t="s">
        <v>15</v>
      </c>
      <c r="H34" s="9" t="s">
        <v>20</v>
      </c>
      <c r="I34" s="9">
        <v>4</v>
      </c>
      <c r="J34" s="9">
        <v>388</v>
      </c>
      <c r="K34" s="10">
        <v>1552</v>
      </c>
      <c r="L34" s="9">
        <f>HOUR([1]restaurant_sales_1200!$B34)</f>
        <v>17</v>
      </c>
      <c r="M34" s="9" t="str">
        <f t="shared" si="0"/>
        <v>Wednesday</v>
      </c>
    </row>
    <row r="35" spans="1:13" x14ac:dyDescent="0.25">
      <c r="A35" s="6">
        <v>1034</v>
      </c>
      <c r="B35" s="7">
        <v>44937.018348622689</v>
      </c>
      <c r="C35" s="7">
        <v>44937.018348622689</v>
      </c>
      <c r="D35" s="8">
        <v>44937.018348622689</v>
      </c>
      <c r="E35" s="9" t="s">
        <v>27</v>
      </c>
      <c r="F35" s="9" t="s">
        <v>8</v>
      </c>
      <c r="G35" s="9" t="s">
        <v>15</v>
      </c>
      <c r="H35" s="9" t="s">
        <v>47</v>
      </c>
      <c r="I35" s="9">
        <v>1</v>
      </c>
      <c r="J35" s="9">
        <v>861</v>
      </c>
      <c r="K35" s="10">
        <v>861</v>
      </c>
      <c r="L35" s="9">
        <f>HOUR([1]restaurant_sales_1200!$B35)</f>
        <v>0</v>
      </c>
      <c r="M35" s="9" t="str">
        <f t="shared" si="0"/>
        <v>Thursday</v>
      </c>
    </row>
    <row r="36" spans="1:13" x14ac:dyDescent="0.25">
      <c r="A36" s="6">
        <v>1035</v>
      </c>
      <c r="B36" s="7">
        <v>44937.321934942127</v>
      </c>
      <c r="C36" s="7">
        <v>44937.321934942127</v>
      </c>
      <c r="D36" s="8">
        <v>44937.321934942127</v>
      </c>
      <c r="E36" s="9" t="s">
        <v>48</v>
      </c>
      <c r="F36" s="9" t="s">
        <v>1</v>
      </c>
      <c r="G36" s="9" t="s">
        <v>30</v>
      </c>
      <c r="H36" s="9" t="s">
        <v>24</v>
      </c>
      <c r="I36" s="9">
        <v>3</v>
      </c>
      <c r="J36" s="9">
        <v>647</v>
      </c>
      <c r="K36" s="10">
        <v>1941</v>
      </c>
      <c r="L36" s="9">
        <f>HOUR([1]restaurant_sales_1200!$B36)</f>
        <v>7</v>
      </c>
      <c r="M36" s="9" t="str">
        <f t="shared" si="0"/>
        <v>Friday</v>
      </c>
    </row>
    <row r="37" spans="1:13" x14ac:dyDescent="0.25">
      <c r="A37" s="6">
        <v>1036</v>
      </c>
      <c r="B37" s="7">
        <v>44937.625521273148</v>
      </c>
      <c r="C37" s="7">
        <v>44937.625521273148</v>
      </c>
      <c r="D37" s="8">
        <v>44937.625521273148</v>
      </c>
      <c r="E37" s="9" t="s">
        <v>49</v>
      </c>
      <c r="F37" s="9" t="s">
        <v>1</v>
      </c>
      <c r="G37" s="9" t="s">
        <v>6</v>
      </c>
      <c r="H37" s="9" t="s">
        <v>20</v>
      </c>
      <c r="I37" s="9">
        <v>5</v>
      </c>
      <c r="J37" s="9">
        <v>850</v>
      </c>
      <c r="K37" s="10">
        <v>4250</v>
      </c>
      <c r="L37" s="9">
        <f>HOUR([1]restaurant_sales_1200!$B37)</f>
        <v>15</v>
      </c>
      <c r="M37" s="9" t="str">
        <f t="shared" si="0"/>
        <v>Saturday</v>
      </c>
    </row>
    <row r="38" spans="1:13" x14ac:dyDescent="0.25">
      <c r="A38" s="6">
        <v>1037</v>
      </c>
      <c r="B38" s="7">
        <v>44937.929107592594</v>
      </c>
      <c r="C38" s="7">
        <v>44937.929107592594</v>
      </c>
      <c r="D38" s="8">
        <v>44937.929107592594</v>
      </c>
      <c r="E38" s="9" t="s">
        <v>50</v>
      </c>
      <c r="F38" s="9" t="s">
        <v>5</v>
      </c>
      <c r="G38" s="9" t="s">
        <v>2</v>
      </c>
      <c r="H38" s="9" t="s">
        <v>33</v>
      </c>
      <c r="I38" s="9">
        <v>3</v>
      </c>
      <c r="J38" s="9">
        <v>247</v>
      </c>
      <c r="K38" s="10">
        <v>741</v>
      </c>
      <c r="L38" s="9">
        <f>HOUR([1]restaurant_sales_1200!$B38)</f>
        <v>22</v>
      </c>
      <c r="M38" s="9" t="str">
        <f t="shared" si="0"/>
        <v>Sunday</v>
      </c>
    </row>
    <row r="39" spans="1:13" x14ac:dyDescent="0.25">
      <c r="A39" s="6">
        <v>1038</v>
      </c>
      <c r="B39" s="7">
        <v>44938.232693912039</v>
      </c>
      <c r="C39" s="7">
        <v>44938.232693912039</v>
      </c>
      <c r="D39" s="8">
        <v>44938.232693912039</v>
      </c>
      <c r="E39" s="9" t="s">
        <v>51</v>
      </c>
      <c r="F39" s="9" t="s">
        <v>8</v>
      </c>
      <c r="G39" s="9" t="s">
        <v>15</v>
      </c>
      <c r="H39" s="9" t="s">
        <v>26</v>
      </c>
      <c r="I39" s="9">
        <v>5</v>
      </c>
      <c r="J39" s="9">
        <v>566</v>
      </c>
      <c r="K39" s="10">
        <v>2830</v>
      </c>
      <c r="L39" s="9">
        <f>HOUR([1]restaurant_sales_1200!$B39)</f>
        <v>5</v>
      </c>
      <c r="M39" s="9" t="str">
        <f t="shared" si="0"/>
        <v>Monday</v>
      </c>
    </row>
    <row r="40" spans="1:13" x14ac:dyDescent="0.25">
      <c r="A40" s="6">
        <v>1039</v>
      </c>
      <c r="B40" s="7">
        <v>44938.536280231485</v>
      </c>
      <c r="C40" s="7">
        <v>44938.536280231485</v>
      </c>
      <c r="D40" s="8">
        <v>44938.536280231485</v>
      </c>
      <c r="E40" s="9" t="s">
        <v>52</v>
      </c>
      <c r="F40" s="9" t="s">
        <v>8</v>
      </c>
      <c r="G40" s="9" t="s">
        <v>6</v>
      </c>
      <c r="H40" s="9" t="s">
        <v>10</v>
      </c>
      <c r="I40" s="9">
        <v>1</v>
      </c>
      <c r="J40" s="9">
        <v>838</v>
      </c>
      <c r="K40" s="10">
        <v>838</v>
      </c>
      <c r="L40" s="9">
        <f>HOUR([1]restaurant_sales_1200!$B40)</f>
        <v>12</v>
      </c>
      <c r="M40" s="9" t="str">
        <f t="shared" si="0"/>
        <v>Tuesday</v>
      </c>
    </row>
    <row r="41" spans="1:13" x14ac:dyDescent="0.25">
      <c r="A41" s="6">
        <v>1040</v>
      </c>
      <c r="B41" s="7">
        <v>44938.839866550923</v>
      </c>
      <c r="C41" s="7">
        <v>44938.839866550923</v>
      </c>
      <c r="D41" s="8">
        <v>44938.839866550923</v>
      </c>
      <c r="E41" s="9" t="s">
        <v>53</v>
      </c>
      <c r="F41" s="9" t="s">
        <v>5</v>
      </c>
      <c r="G41" s="9" t="s">
        <v>2</v>
      </c>
      <c r="H41" s="9" t="s">
        <v>13</v>
      </c>
      <c r="I41" s="9">
        <v>2</v>
      </c>
      <c r="J41" s="9">
        <v>343</v>
      </c>
      <c r="K41" s="10">
        <v>686</v>
      </c>
      <c r="L41" s="9">
        <f>HOUR([1]restaurant_sales_1200!$B41)</f>
        <v>20</v>
      </c>
      <c r="M41" s="9" t="str">
        <f t="shared" si="0"/>
        <v>Wednesday</v>
      </c>
    </row>
    <row r="42" spans="1:13" x14ac:dyDescent="0.25">
      <c r="A42" s="6">
        <v>1041</v>
      </c>
      <c r="B42" s="7">
        <v>44939.143452881945</v>
      </c>
      <c r="C42" s="7">
        <v>44939.143452881945</v>
      </c>
      <c r="D42" s="8">
        <v>44939.143452881945</v>
      </c>
      <c r="E42" s="9" t="s">
        <v>54</v>
      </c>
      <c r="F42" s="9" t="s">
        <v>8</v>
      </c>
      <c r="G42" s="9" t="s">
        <v>15</v>
      </c>
      <c r="H42" s="9" t="s">
        <v>47</v>
      </c>
      <c r="I42" s="9">
        <v>4</v>
      </c>
      <c r="J42" s="9">
        <v>590</v>
      </c>
      <c r="K42" s="10">
        <v>2360</v>
      </c>
      <c r="L42" s="9">
        <f>HOUR([1]restaurant_sales_1200!$B42)</f>
        <v>3</v>
      </c>
      <c r="M42" s="9" t="str">
        <f t="shared" si="0"/>
        <v>Thursday</v>
      </c>
    </row>
    <row r="43" spans="1:13" x14ac:dyDescent="0.25">
      <c r="A43" s="6">
        <v>1042</v>
      </c>
      <c r="B43" s="7">
        <v>44939.44703920139</v>
      </c>
      <c r="C43" s="7">
        <v>44939.44703920139</v>
      </c>
      <c r="D43" s="8">
        <v>44939.44703920139</v>
      </c>
      <c r="E43" s="9" t="s">
        <v>55</v>
      </c>
      <c r="F43" s="9" t="s">
        <v>19</v>
      </c>
      <c r="G43" s="9" t="s">
        <v>15</v>
      </c>
      <c r="H43" s="9" t="s">
        <v>33</v>
      </c>
      <c r="I43" s="9">
        <v>1</v>
      </c>
      <c r="J43" s="9">
        <v>948</v>
      </c>
      <c r="K43" s="10">
        <v>948</v>
      </c>
      <c r="L43" s="9">
        <f>HOUR([1]restaurant_sales_1200!$B43)</f>
        <v>10</v>
      </c>
      <c r="M43" s="9" t="str">
        <f t="shared" si="0"/>
        <v>Friday</v>
      </c>
    </row>
    <row r="44" spans="1:13" x14ac:dyDescent="0.25">
      <c r="A44" s="6">
        <v>1043</v>
      </c>
      <c r="B44" s="7">
        <v>44939.750625520835</v>
      </c>
      <c r="C44" s="7">
        <v>44939.750625520835</v>
      </c>
      <c r="D44" s="8">
        <v>44939.750625520835</v>
      </c>
      <c r="E44" s="9" t="s">
        <v>56</v>
      </c>
      <c r="F44" s="9" t="s">
        <v>8</v>
      </c>
      <c r="G44" s="9" t="s">
        <v>2</v>
      </c>
      <c r="H44" s="9" t="s">
        <v>16</v>
      </c>
      <c r="I44" s="9">
        <v>4</v>
      </c>
      <c r="J44" s="9">
        <v>606</v>
      </c>
      <c r="K44" s="10">
        <v>2424</v>
      </c>
      <c r="L44" s="9">
        <f>HOUR([1]restaurant_sales_1200!$B44)</f>
        <v>18</v>
      </c>
      <c r="M44" s="9" t="str">
        <f t="shared" si="0"/>
        <v>Saturday</v>
      </c>
    </row>
    <row r="45" spans="1:13" x14ac:dyDescent="0.25">
      <c r="A45" s="6">
        <v>1044</v>
      </c>
      <c r="B45" s="7">
        <v>44940.054211840281</v>
      </c>
      <c r="C45" s="7">
        <v>44940.054211840281</v>
      </c>
      <c r="D45" s="8">
        <v>44940.054211840281</v>
      </c>
      <c r="E45" s="9" t="s">
        <v>57</v>
      </c>
      <c r="F45" s="9" t="s">
        <v>8</v>
      </c>
      <c r="G45" s="9" t="s">
        <v>30</v>
      </c>
      <c r="H45" s="9" t="s">
        <v>3</v>
      </c>
      <c r="I45" s="9">
        <v>2</v>
      </c>
      <c r="J45" s="9">
        <v>464</v>
      </c>
      <c r="K45" s="10">
        <v>928</v>
      </c>
      <c r="L45" s="9">
        <f>HOUR([1]restaurant_sales_1200!$B45)</f>
        <v>1</v>
      </c>
      <c r="M45" s="9" t="str">
        <f t="shared" si="0"/>
        <v>Sunday</v>
      </c>
    </row>
    <row r="46" spans="1:13" x14ac:dyDescent="0.25">
      <c r="A46" s="6">
        <v>1045</v>
      </c>
      <c r="B46" s="7">
        <v>44940.357798159719</v>
      </c>
      <c r="C46" s="7">
        <v>44940.357798159719</v>
      </c>
      <c r="D46" s="8">
        <v>44940.357798159719</v>
      </c>
      <c r="E46" s="9" t="s">
        <v>58</v>
      </c>
      <c r="F46" s="9" t="s">
        <v>8</v>
      </c>
      <c r="G46" s="9" t="s">
        <v>6</v>
      </c>
      <c r="H46" s="9" t="s">
        <v>3</v>
      </c>
      <c r="I46" s="9">
        <v>2</v>
      </c>
      <c r="J46" s="9">
        <v>581</v>
      </c>
      <c r="K46" s="10">
        <v>1162</v>
      </c>
      <c r="L46" s="9">
        <f>HOUR([1]restaurant_sales_1200!$B46)</f>
        <v>8</v>
      </c>
      <c r="M46" s="9" t="str">
        <f t="shared" si="0"/>
        <v>Monday</v>
      </c>
    </row>
    <row r="47" spans="1:13" x14ac:dyDescent="0.25">
      <c r="A47" s="6">
        <v>1046</v>
      </c>
      <c r="B47" s="7">
        <v>44940.661384490741</v>
      </c>
      <c r="C47" s="7">
        <v>44940.661384490741</v>
      </c>
      <c r="D47" s="8">
        <v>44940.661384490741</v>
      </c>
      <c r="E47" s="9" t="s">
        <v>59</v>
      </c>
      <c r="F47" s="9" t="s">
        <v>1</v>
      </c>
      <c r="G47" s="9" t="s">
        <v>15</v>
      </c>
      <c r="H47" s="9" t="s">
        <v>10</v>
      </c>
      <c r="I47" s="9">
        <v>1</v>
      </c>
      <c r="J47" s="9">
        <v>300</v>
      </c>
      <c r="K47" s="10">
        <v>300</v>
      </c>
      <c r="L47" s="9">
        <f>HOUR([1]restaurant_sales_1200!$B47)</f>
        <v>15</v>
      </c>
      <c r="M47" s="9" t="str">
        <f t="shared" si="0"/>
        <v>Tuesday</v>
      </c>
    </row>
    <row r="48" spans="1:13" x14ac:dyDescent="0.25">
      <c r="A48" s="6">
        <v>1047</v>
      </c>
      <c r="B48" s="7">
        <v>44940.964970810186</v>
      </c>
      <c r="C48" s="7">
        <v>44940.964970810186</v>
      </c>
      <c r="D48" s="8">
        <v>44940.964970810186</v>
      </c>
      <c r="E48" s="9" t="s">
        <v>60</v>
      </c>
      <c r="F48" s="9" t="s">
        <v>19</v>
      </c>
      <c r="G48" s="9" t="s">
        <v>2</v>
      </c>
      <c r="H48" s="9" t="s">
        <v>10</v>
      </c>
      <c r="I48" s="9">
        <v>2</v>
      </c>
      <c r="J48" s="9">
        <v>253</v>
      </c>
      <c r="K48" s="10">
        <v>506</v>
      </c>
      <c r="L48" s="9">
        <f>HOUR([1]restaurant_sales_1200!$B48)</f>
        <v>23</v>
      </c>
      <c r="M48" s="9" t="str">
        <f t="shared" si="0"/>
        <v>Wednesday</v>
      </c>
    </row>
    <row r="49" spans="1:13" x14ac:dyDescent="0.25">
      <c r="A49" s="6">
        <v>1048</v>
      </c>
      <c r="B49" s="7">
        <v>44941.268557129632</v>
      </c>
      <c r="C49" s="7">
        <v>44941.268557129632</v>
      </c>
      <c r="D49" s="8">
        <v>44941.268557129632</v>
      </c>
      <c r="E49" s="9" t="s">
        <v>61</v>
      </c>
      <c r="F49" s="9" t="s">
        <v>8</v>
      </c>
      <c r="G49" s="9" t="s">
        <v>15</v>
      </c>
      <c r="H49" s="9" t="s">
        <v>10</v>
      </c>
      <c r="I49" s="9">
        <v>5</v>
      </c>
      <c r="J49" s="9">
        <v>549</v>
      </c>
      <c r="K49" s="10">
        <v>2745</v>
      </c>
      <c r="L49" s="9">
        <f>HOUR([1]restaurant_sales_1200!$B49)</f>
        <v>6</v>
      </c>
      <c r="M49" s="9" t="str">
        <f t="shared" si="0"/>
        <v>Thursday</v>
      </c>
    </row>
    <row r="50" spans="1:13" x14ac:dyDescent="0.25">
      <c r="A50" s="6">
        <v>1049</v>
      </c>
      <c r="B50" s="7">
        <v>44941.572143449077</v>
      </c>
      <c r="C50" s="7">
        <v>44941.572143449077</v>
      </c>
      <c r="D50" s="8">
        <v>44941.572143449077</v>
      </c>
      <c r="E50" s="9" t="s">
        <v>62</v>
      </c>
      <c r="F50" s="9" t="s">
        <v>19</v>
      </c>
      <c r="G50" s="9" t="s">
        <v>2</v>
      </c>
      <c r="H50" s="9" t="s">
        <v>33</v>
      </c>
      <c r="I50" s="9">
        <v>2</v>
      </c>
      <c r="J50" s="9">
        <v>600</v>
      </c>
      <c r="K50" s="10">
        <v>1200</v>
      </c>
      <c r="L50" s="9">
        <f>HOUR([1]restaurant_sales_1200!$B50)</f>
        <v>13</v>
      </c>
      <c r="M50" s="9" t="str">
        <f t="shared" si="0"/>
        <v>Friday</v>
      </c>
    </row>
    <row r="51" spans="1:13" x14ac:dyDescent="0.25">
      <c r="A51" s="6">
        <v>1050</v>
      </c>
      <c r="B51" s="7">
        <v>44941.875729780091</v>
      </c>
      <c r="C51" s="7">
        <v>44941.875729780091</v>
      </c>
      <c r="D51" s="8">
        <v>44941.875729780091</v>
      </c>
      <c r="E51" s="9" t="s">
        <v>63</v>
      </c>
      <c r="F51" s="9" t="s">
        <v>19</v>
      </c>
      <c r="G51" s="9" t="s">
        <v>15</v>
      </c>
      <c r="H51" s="9" t="s">
        <v>26</v>
      </c>
      <c r="I51" s="9">
        <v>4</v>
      </c>
      <c r="J51" s="9">
        <v>172</v>
      </c>
      <c r="K51" s="10">
        <v>688</v>
      </c>
      <c r="L51" s="9">
        <f>HOUR([1]restaurant_sales_1200!$B51)</f>
        <v>21</v>
      </c>
      <c r="M51" s="9" t="str">
        <f t="shared" si="0"/>
        <v>Saturday</v>
      </c>
    </row>
    <row r="52" spans="1:13" x14ac:dyDescent="0.25">
      <c r="A52" s="6">
        <v>1051</v>
      </c>
      <c r="B52" s="7">
        <v>44942.179316099537</v>
      </c>
      <c r="C52" s="7">
        <v>44942.179316099537</v>
      </c>
      <c r="D52" s="8">
        <v>44942.179316099537</v>
      </c>
      <c r="E52" s="9" t="s">
        <v>64</v>
      </c>
      <c r="F52" s="9" t="s">
        <v>19</v>
      </c>
      <c r="G52" s="9" t="s">
        <v>9</v>
      </c>
      <c r="H52" s="9" t="s">
        <v>26</v>
      </c>
      <c r="I52" s="9">
        <v>4</v>
      </c>
      <c r="J52" s="9">
        <v>812</v>
      </c>
      <c r="K52" s="10">
        <v>3248</v>
      </c>
      <c r="L52" s="9">
        <f>HOUR([1]restaurant_sales_1200!$B52)</f>
        <v>4</v>
      </c>
      <c r="M52" s="9" t="str">
        <f t="shared" si="0"/>
        <v>Sunday</v>
      </c>
    </row>
    <row r="53" spans="1:13" x14ac:dyDescent="0.25">
      <c r="A53" s="6">
        <v>1052</v>
      </c>
      <c r="B53" s="7">
        <v>44942.482902418982</v>
      </c>
      <c r="C53" s="7">
        <v>44942.482902418982</v>
      </c>
      <c r="D53" s="8">
        <v>44942.482902418982</v>
      </c>
      <c r="E53" s="9" t="s">
        <v>65</v>
      </c>
      <c r="F53" s="9" t="s">
        <v>5</v>
      </c>
      <c r="G53" s="9" t="s">
        <v>30</v>
      </c>
      <c r="H53" s="9" t="s">
        <v>20</v>
      </c>
      <c r="I53" s="9">
        <v>4</v>
      </c>
      <c r="J53" s="9">
        <v>395</v>
      </c>
      <c r="K53" s="10">
        <v>1580</v>
      </c>
      <c r="L53" s="9">
        <f>HOUR([1]restaurant_sales_1200!$B53)</f>
        <v>11</v>
      </c>
      <c r="M53" s="9" t="str">
        <f t="shared" si="0"/>
        <v>Monday</v>
      </c>
    </row>
    <row r="54" spans="1:13" x14ac:dyDescent="0.25">
      <c r="A54" s="6">
        <v>1053</v>
      </c>
      <c r="B54" s="7">
        <v>44942.786488738428</v>
      </c>
      <c r="C54" s="7">
        <v>44942.786488738428</v>
      </c>
      <c r="D54" s="8">
        <v>44942.786488738428</v>
      </c>
      <c r="E54" s="9" t="s">
        <v>66</v>
      </c>
      <c r="F54" s="9" t="s">
        <v>8</v>
      </c>
      <c r="G54" s="9" t="s">
        <v>6</v>
      </c>
      <c r="H54" s="9" t="s">
        <v>13</v>
      </c>
      <c r="I54" s="9">
        <v>4</v>
      </c>
      <c r="J54" s="9">
        <v>116</v>
      </c>
      <c r="K54" s="10">
        <v>464</v>
      </c>
      <c r="L54" s="9">
        <f>HOUR([1]restaurant_sales_1200!$B54)</f>
        <v>18</v>
      </c>
      <c r="M54" s="9" t="str">
        <f t="shared" si="0"/>
        <v>Tuesday</v>
      </c>
    </row>
    <row r="55" spans="1:13" x14ac:dyDescent="0.25">
      <c r="A55" s="6">
        <v>1054</v>
      </c>
      <c r="B55" s="7">
        <v>44943.090075057873</v>
      </c>
      <c r="C55" s="7">
        <v>44943.090075057873</v>
      </c>
      <c r="D55" s="8">
        <v>44943.090075057873</v>
      </c>
      <c r="E55" s="9" t="s">
        <v>67</v>
      </c>
      <c r="F55" s="9" t="s">
        <v>1</v>
      </c>
      <c r="G55" s="9" t="s">
        <v>30</v>
      </c>
      <c r="H55" s="9" t="s">
        <v>20</v>
      </c>
      <c r="I55" s="9">
        <v>5</v>
      </c>
      <c r="J55" s="9">
        <v>740</v>
      </c>
      <c r="K55" s="10">
        <v>3700</v>
      </c>
      <c r="L55" s="9">
        <f>HOUR([1]restaurant_sales_1200!$B55)</f>
        <v>2</v>
      </c>
      <c r="M55" s="9" t="str">
        <f t="shared" si="0"/>
        <v>Wednesday</v>
      </c>
    </row>
    <row r="56" spans="1:13" x14ac:dyDescent="0.25">
      <c r="A56" s="6">
        <v>1055</v>
      </c>
      <c r="B56" s="7">
        <v>44943.393661388887</v>
      </c>
      <c r="C56" s="7">
        <v>44943.393661388887</v>
      </c>
      <c r="D56" s="8">
        <v>44943.393661388887</v>
      </c>
      <c r="E56" s="9" t="s">
        <v>58</v>
      </c>
      <c r="F56" s="9" t="s">
        <v>1</v>
      </c>
      <c r="G56" s="9" t="s">
        <v>30</v>
      </c>
      <c r="H56" s="9" t="s">
        <v>24</v>
      </c>
      <c r="I56" s="9">
        <v>3</v>
      </c>
      <c r="J56" s="9">
        <v>316</v>
      </c>
      <c r="K56" s="10">
        <v>948</v>
      </c>
      <c r="L56" s="9">
        <f>HOUR([1]restaurant_sales_1200!$B56)</f>
        <v>9</v>
      </c>
      <c r="M56" s="9" t="str">
        <f t="shared" si="0"/>
        <v>Thursday</v>
      </c>
    </row>
    <row r="57" spans="1:13" x14ac:dyDescent="0.25">
      <c r="A57" s="6">
        <v>1056</v>
      </c>
      <c r="B57" s="7">
        <v>44943.697247708333</v>
      </c>
      <c r="C57" s="7">
        <v>44943.697247708333</v>
      </c>
      <c r="D57" s="8">
        <v>44943.697247708333</v>
      </c>
      <c r="E57" s="9" t="s">
        <v>29</v>
      </c>
      <c r="F57" s="9" t="s">
        <v>1</v>
      </c>
      <c r="G57" s="9" t="s">
        <v>6</v>
      </c>
      <c r="H57" s="9" t="s">
        <v>16</v>
      </c>
      <c r="I57" s="9">
        <v>1</v>
      </c>
      <c r="J57" s="9">
        <v>160</v>
      </c>
      <c r="K57" s="10">
        <v>160</v>
      </c>
      <c r="L57" s="9">
        <f>HOUR([1]restaurant_sales_1200!$B57)</f>
        <v>16</v>
      </c>
      <c r="M57" s="9" t="str">
        <f t="shared" si="0"/>
        <v>Friday</v>
      </c>
    </row>
    <row r="58" spans="1:13" x14ac:dyDescent="0.25">
      <c r="A58" s="6">
        <v>1057</v>
      </c>
      <c r="B58" s="7">
        <v>44944.000834027778</v>
      </c>
      <c r="C58" s="7">
        <v>44944.000834027778</v>
      </c>
      <c r="D58" s="8">
        <v>44944.000834027778</v>
      </c>
      <c r="E58" s="9" t="s">
        <v>68</v>
      </c>
      <c r="F58" s="9" t="s">
        <v>1</v>
      </c>
      <c r="G58" s="9" t="s">
        <v>30</v>
      </c>
      <c r="H58" s="9" t="s">
        <v>13</v>
      </c>
      <c r="I58" s="9">
        <v>4</v>
      </c>
      <c r="J58" s="9">
        <v>715</v>
      </c>
      <c r="K58" s="10">
        <v>2860</v>
      </c>
      <c r="L58" s="9">
        <f>HOUR([1]restaurant_sales_1200!$B58)</f>
        <v>0</v>
      </c>
      <c r="M58" s="9" t="str">
        <f t="shared" si="0"/>
        <v>Saturday</v>
      </c>
    </row>
    <row r="59" spans="1:13" x14ac:dyDescent="0.25">
      <c r="A59" s="6">
        <v>1058</v>
      </c>
      <c r="B59" s="7">
        <v>44944.304420347224</v>
      </c>
      <c r="C59" s="7">
        <v>44944.304420347224</v>
      </c>
      <c r="D59" s="8">
        <v>44944.304420347224</v>
      </c>
      <c r="E59" s="9" t="s">
        <v>48</v>
      </c>
      <c r="F59" s="9" t="s">
        <v>8</v>
      </c>
      <c r="G59" s="9" t="s">
        <v>9</v>
      </c>
      <c r="H59" s="9" t="s">
        <v>24</v>
      </c>
      <c r="I59" s="9">
        <v>2</v>
      </c>
      <c r="J59" s="9">
        <v>141</v>
      </c>
      <c r="K59" s="10">
        <v>282</v>
      </c>
      <c r="L59" s="9">
        <f>HOUR([1]restaurant_sales_1200!$B59)</f>
        <v>7</v>
      </c>
      <c r="M59" s="9" t="str">
        <f t="shared" si="0"/>
        <v>Sunday</v>
      </c>
    </row>
    <row r="60" spans="1:13" x14ac:dyDescent="0.25">
      <c r="A60" s="6">
        <v>1059</v>
      </c>
      <c r="B60" s="7">
        <v>44944.608006666669</v>
      </c>
      <c r="C60" s="7">
        <v>44944.608006666669</v>
      </c>
      <c r="D60" s="8">
        <v>44944.608006666669</v>
      </c>
      <c r="E60" s="9" t="s">
        <v>40</v>
      </c>
      <c r="F60" s="9" t="s">
        <v>1</v>
      </c>
      <c r="G60" s="9" t="s">
        <v>2</v>
      </c>
      <c r="H60" s="9" t="s">
        <v>3</v>
      </c>
      <c r="I60" s="9">
        <v>4</v>
      </c>
      <c r="J60" s="9">
        <v>124</v>
      </c>
      <c r="K60" s="10">
        <v>496</v>
      </c>
      <c r="L60" s="9">
        <f>HOUR([1]restaurant_sales_1200!$B60)</f>
        <v>14</v>
      </c>
      <c r="M60" s="9" t="str">
        <f t="shared" si="0"/>
        <v>Monday</v>
      </c>
    </row>
    <row r="61" spans="1:13" x14ac:dyDescent="0.25">
      <c r="A61" s="6">
        <v>1060</v>
      </c>
      <c r="B61" s="7">
        <v>44944.911592997683</v>
      </c>
      <c r="C61" s="7">
        <v>44944.911592997683</v>
      </c>
      <c r="D61" s="8">
        <v>44944.911592997683</v>
      </c>
      <c r="E61" s="9" t="s">
        <v>69</v>
      </c>
      <c r="F61" s="9" t="s">
        <v>19</v>
      </c>
      <c r="G61" s="9" t="s">
        <v>6</v>
      </c>
      <c r="H61" s="9" t="s">
        <v>47</v>
      </c>
      <c r="I61" s="9">
        <v>2</v>
      </c>
      <c r="J61" s="9">
        <v>138</v>
      </c>
      <c r="K61" s="10">
        <v>276</v>
      </c>
      <c r="L61" s="9">
        <f>HOUR([1]restaurant_sales_1200!$B61)</f>
        <v>21</v>
      </c>
      <c r="M61" s="9" t="str">
        <f t="shared" si="0"/>
        <v>Tuesday</v>
      </c>
    </row>
    <row r="62" spans="1:13" x14ac:dyDescent="0.25">
      <c r="A62" s="6">
        <v>1061</v>
      </c>
      <c r="B62" s="7">
        <v>44945.215179317129</v>
      </c>
      <c r="C62" s="7">
        <v>44945.215179317129</v>
      </c>
      <c r="D62" s="8">
        <v>44945.215179317129</v>
      </c>
      <c r="E62" s="9" t="s">
        <v>70</v>
      </c>
      <c r="F62" s="9" t="s">
        <v>5</v>
      </c>
      <c r="G62" s="9" t="s">
        <v>2</v>
      </c>
      <c r="H62" s="9" t="s">
        <v>24</v>
      </c>
      <c r="I62" s="9">
        <v>2</v>
      </c>
      <c r="J62" s="9">
        <v>902</v>
      </c>
      <c r="K62" s="10">
        <v>1804</v>
      </c>
      <c r="L62" s="9">
        <f>HOUR([1]restaurant_sales_1200!$B62)</f>
        <v>5</v>
      </c>
      <c r="M62" s="9" t="str">
        <f t="shared" si="0"/>
        <v>Wednesday</v>
      </c>
    </row>
    <row r="63" spans="1:13" x14ac:dyDescent="0.25">
      <c r="A63" s="6">
        <v>1062</v>
      </c>
      <c r="B63" s="7">
        <v>44945.518765636574</v>
      </c>
      <c r="C63" s="7">
        <v>44945.518765636574</v>
      </c>
      <c r="D63" s="8">
        <v>44945.518765636574</v>
      </c>
      <c r="E63" s="9" t="s">
        <v>71</v>
      </c>
      <c r="F63" s="9" t="s">
        <v>1</v>
      </c>
      <c r="G63" s="9" t="s">
        <v>15</v>
      </c>
      <c r="H63" s="9" t="s">
        <v>47</v>
      </c>
      <c r="I63" s="9">
        <v>4</v>
      </c>
      <c r="J63" s="9">
        <v>230</v>
      </c>
      <c r="K63" s="10">
        <v>920</v>
      </c>
      <c r="L63" s="9">
        <f>HOUR([1]restaurant_sales_1200!$B63)</f>
        <v>12</v>
      </c>
      <c r="M63" s="9" t="str">
        <f t="shared" si="0"/>
        <v>Thursday</v>
      </c>
    </row>
    <row r="64" spans="1:13" x14ac:dyDescent="0.25">
      <c r="A64" s="6">
        <v>1063</v>
      </c>
      <c r="B64" s="7">
        <v>44945.82235195602</v>
      </c>
      <c r="C64" s="7">
        <v>44945.82235195602</v>
      </c>
      <c r="D64" s="8">
        <v>44945.82235195602</v>
      </c>
      <c r="E64" s="9" t="s">
        <v>72</v>
      </c>
      <c r="F64" s="9" t="s">
        <v>19</v>
      </c>
      <c r="G64" s="9" t="s">
        <v>9</v>
      </c>
      <c r="H64" s="9" t="s">
        <v>3</v>
      </c>
      <c r="I64" s="9">
        <v>5</v>
      </c>
      <c r="J64" s="9">
        <v>597</v>
      </c>
      <c r="K64" s="10">
        <v>2985</v>
      </c>
      <c r="L64" s="9">
        <f>HOUR([1]restaurant_sales_1200!$B64)</f>
        <v>19</v>
      </c>
      <c r="M64" s="9" t="str">
        <f t="shared" si="0"/>
        <v>Friday</v>
      </c>
    </row>
    <row r="65" spans="1:13" x14ac:dyDescent="0.25">
      <c r="A65" s="6">
        <v>1064</v>
      </c>
      <c r="B65" s="7">
        <v>44946.125938287034</v>
      </c>
      <c r="C65" s="7">
        <v>44946.125938287034</v>
      </c>
      <c r="D65" s="8">
        <v>44946.125938287034</v>
      </c>
      <c r="E65" s="9" t="s">
        <v>73</v>
      </c>
      <c r="F65" s="9" t="s">
        <v>1</v>
      </c>
      <c r="G65" s="9" t="s">
        <v>2</v>
      </c>
      <c r="H65" s="9" t="s">
        <v>31</v>
      </c>
      <c r="I65" s="9">
        <v>2</v>
      </c>
      <c r="J65" s="9">
        <v>328</v>
      </c>
      <c r="K65" s="10">
        <v>656</v>
      </c>
      <c r="L65" s="9">
        <f>HOUR([1]restaurant_sales_1200!$B65)</f>
        <v>3</v>
      </c>
      <c r="M65" s="9" t="str">
        <f t="shared" si="0"/>
        <v>Saturday</v>
      </c>
    </row>
    <row r="66" spans="1:13" x14ac:dyDescent="0.25">
      <c r="A66" s="6">
        <v>1065</v>
      </c>
      <c r="B66" s="7">
        <v>44946.429524606479</v>
      </c>
      <c r="C66" s="7">
        <v>44946.429524606479</v>
      </c>
      <c r="D66" s="8">
        <v>44946.429524606479</v>
      </c>
      <c r="E66" s="9" t="s">
        <v>74</v>
      </c>
      <c r="F66" s="9" t="s">
        <v>8</v>
      </c>
      <c r="G66" s="9" t="s">
        <v>2</v>
      </c>
      <c r="H66" s="9" t="s">
        <v>16</v>
      </c>
      <c r="I66" s="9">
        <v>2</v>
      </c>
      <c r="J66" s="9">
        <v>207</v>
      </c>
      <c r="K66" s="10">
        <v>414</v>
      </c>
      <c r="L66" s="9">
        <f>HOUR([1]restaurant_sales_1200!$B66)</f>
        <v>10</v>
      </c>
      <c r="M66" s="9" t="str">
        <f t="shared" si="0"/>
        <v>Sunday</v>
      </c>
    </row>
    <row r="67" spans="1:13" x14ac:dyDescent="0.25">
      <c r="A67" s="6">
        <v>1066</v>
      </c>
      <c r="B67" s="7">
        <v>44946.733110925925</v>
      </c>
      <c r="C67" s="7">
        <v>44946.733110925925</v>
      </c>
      <c r="D67" s="8">
        <v>44946.733110925925</v>
      </c>
      <c r="E67" s="9" t="s">
        <v>75</v>
      </c>
      <c r="F67" s="9" t="s">
        <v>19</v>
      </c>
      <c r="G67" s="9" t="s">
        <v>6</v>
      </c>
      <c r="H67" s="9" t="s">
        <v>47</v>
      </c>
      <c r="I67" s="9">
        <v>4</v>
      </c>
      <c r="J67" s="9">
        <v>271</v>
      </c>
      <c r="K67" s="10">
        <v>1084</v>
      </c>
      <c r="L67" s="9">
        <f>HOUR([1]restaurant_sales_1200!$B67)</f>
        <v>17</v>
      </c>
      <c r="M67" s="9" t="str">
        <f t="shared" si="0"/>
        <v>Monday</v>
      </c>
    </row>
    <row r="68" spans="1:13" x14ac:dyDescent="0.25">
      <c r="A68" s="6">
        <v>1067</v>
      </c>
      <c r="B68" s="7">
        <v>44947.03669724537</v>
      </c>
      <c r="C68" s="7">
        <v>44947.03669724537</v>
      </c>
      <c r="D68" s="8">
        <v>44947.03669724537</v>
      </c>
      <c r="E68" s="9" t="s">
        <v>76</v>
      </c>
      <c r="F68" s="9" t="s">
        <v>8</v>
      </c>
      <c r="G68" s="9" t="s">
        <v>15</v>
      </c>
      <c r="H68" s="9" t="s">
        <v>3</v>
      </c>
      <c r="I68" s="9">
        <v>2</v>
      </c>
      <c r="J68" s="9">
        <v>534</v>
      </c>
      <c r="K68" s="10">
        <v>1068</v>
      </c>
      <c r="L68" s="9">
        <f>HOUR([1]restaurant_sales_1200!$B68)</f>
        <v>0</v>
      </c>
      <c r="M68" s="9" t="str">
        <f t="shared" si="0"/>
        <v>Tuesday</v>
      </c>
    </row>
    <row r="69" spans="1:13" x14ac:dyDescent="0.25">
      <c r="A69" s="6">
        <v>1068</v>
      </c>
      <c r="B69" s="7">
        <v>44947.340283564816</v>
      </c>
      <c r="C69" s="7">
        <v>44947.340283564816</v>
      </c>
      <c r="D69" s="8">
        <v>44947.340283564816</v>
      </c>
      <c r="E69" s="9" t="s">
        <v>77</v>
      </c>
      <c r="F69" s="9" t="s">
        <v>1</v>
      </c>
      <c r="G69" s="9" t="s">
        <v>6</v>
      </c>
      <c r="H69" s="9" t="s">
        <v>24</v>
      </c>
      <c r="I69" s="9">
        <v>2</v>
      </c>
      <c r="J69" s="9">
        <v>577</v>
      </c>
      <c r="K69" s="10">
        <v>1154</v>
      </c>
      <c r="L69" s="9">
        <f>HOUR([1]restaurant_sales_1200!$B69)</f>
        <v>8</v>
      </c>
      <c r="M69" s="9" t="str">
        <f t="shared" si="0"/>
        <v>Wednesday</v>
      </c>
    </row>
    <row r="70" spans="1:13" x14ac:dyDescent="0.25">
      <c r="A70" s="6">
        <v>1069</v>
      </c>
      <c r="B70" s="7">
        <v>44947.64386989583</v>
      </c>
      <c r="C70" s="7">
        <v>44947.64386989583</v>
      </c>
      <c r="D70" s="8">
        <v>44947.64386989583</v>
      </c>
      <c r="E70" s="9" t="s">
        <v>78</v>
      </c>
      <c r="F70" s="9" t="s">
        <v>19</v>
      </c>
      <c r="G70" s="9" t="s">
        <v>15</v>
      </c>
      <c r="H70" s="9" t="s">
        <v>47</v>
      </c>
      <c r="I70" s="9">
        <v>4</v>
      </c>
      <c r="J70" s="9">
        <v>201</v>
      </c>
      <c r="K70" s="10">
        <v>804</v>
      </c>
      <c r="L70" s="9">
        <f>HOUR([1]restaurant_sales_1200!$B70)</f>
        <v>15</v>
      </c>
      <c r="M70" s="9" t="str">
        <f t="shared" si="0"/>
        <v>Thursday</v>
      </c>
    </row>
    <row r="71" spans="1:13" x14ac:dyDescent="0.25">
      <c r="A71" s="6">
        <v>1070</v>
      </c>
      <c r="B71" s="7">
        <v>44947.947456215275</v>
      </c>
      <c r="C71" s="7">
        <v>44947.947456215275</v>
      </c>
      <c r="D71" s="8">
        <v>44947.947456215275</v>
      </c>
      <c r="E71" s="9" t="s">
        <v>11</v>
      </c>
      <c r="F71" s="9" t="s">
        <v>19</v>
      </c>
      <c r="G71" s="9" t="s">
        <v>6</v>
      </c>
      <c r="H71" s="9" t="s">
        <v>13</v>
      </c>
      <c r="I71" s="9">
        <v>4</v>
      </c>
      <c r="J71" s="9">
        <v>965</v>
      </c>
      <c r="K71" s="10">
        <v>3860</v>
      </c>
      <c r="L71" s="9">
        <f>HOUR([1]restaurant_sales_1200!$B71)</f>
        <v>22</v>
      </c>
      <c r="M71" s="9" t="str">
        <f t="shared" si="0"/>
        <v>Friday</v>
      </c>
    </row>
    <row r="72" spans="1:13" x14ac:dyDescent="0.25">
      <c r="A72" s="6">
        <v>1071</v>
      </c>
      <c r="B72" s="7">
        <v>44948.251042534721</v>
      </c>
      <c r="C72" s="7">
        <v>44948.251042534721</v>
      </c>
      <c r="D72" s="8">
        <v>44948.251042534721</v>
      </c>
      <c r="E72" s="9" t="s">
        <v>71</v>
      </c>
      <c r="F72" s="9" t="s">
        <v>19</v>
      </c>
      <c r="G72" s="9" t="s">
        <v>2</v>
      </c>
      <c r="H72" s="9" t="s">
        <v>31</v>
      </c>
      <c r="I72" s="9">
        <v>1</v>
      </c>
      <c r="J72" s="9">
        <v>623</v>
      </c>
      <c r="K72" s="10">
        <v>623</v>
      </c>
      <c r="L72" s="9">
        <f>HOUR([1]restaurant_sales_1200!$B72)</f>
        <v>6</v>
      </c>
      <c r="M72" s="9" t="str">
        <f t="shared" si="0"/>
        <v>Saturday</v>
      </c>
    </row>
    <row r="73" spans="1:13" x14ac:dyDescent="0.25">
      <c r="A73" s="6">
        <v>1072</v>
      </c>
      <c r="B73" s="7">
        <v>44948.554628854166</v>
      </c>
      <c r="C73" s="7">
        <v>44948.554628854166</v>
      </c>
      <c r="D73" s="8">
        <v>44948.554628854166</v>
      </c>
      <c r="E73" s="9" t="s">
        <v>79</v>
      </c>
      <c r="F73" s="9" t="s">
        <v>1</v>
      </c>
      <c r="G73" s="9" t="s">
        <v>2</v>
      </c>
      <c r="H73" s="9" t="s">
        <v>20</v>
      </c>
      <c r="I73" s="9">
        <v>5</v>
      </c>
      <c r="J73" s="9">
        <v>374</v>
      </c>
      <c r="K73" s="10">
        <v>1870</v>
      </c>
      <c r="L73" s="9">
        <f>HOUR([1]restaurant_sales_1200!$B73)</f>
        <v>13</v>
      </c>
      <c r="M73" s="9" t="str">
        <f t="shared" si="0"/>
        <v>Sunday</v>
      </c>
    </row>
    <row r="74" spans="1:13" x14ac:dyDescent="0.25">
      <c r="A74" s="6">
        <v>1073</v>
      </c>
      <c r="B74" s="7">
        <v>44948.858215173612</v>
      </c>
      <c r="C74" s="7">
        <v>44948.858215173612</v>
      </c>
      <c r="D74" s="8">
        <v>44948.858215173612</v>
      </c>
      <c r="E74" s="9" t="s">
        <v>48</v>
      </c>
      <c r="F74" s="9" t="s">
        <v>5</v>
      </c>
      <c r="G74" s="9" t="s">
        <v>9</v>
      </c>
      <c r="H74" s="9" t="s">
        <v>13</v>
      </c>
      <c r="I74" s="9">
        <v>5</v>
      </c>
      <c r="J74" s="9">
        <v>712</v>
      </c>
      <c r="K74" s="10">
        <v>3560</v>
      </c>
      <c r="L74" s="9">
        <f>HOUR([1]restaurant_sales_1200!$B74)</f>
        <v>20</v>
      </c>
      <c r="M74" s="9" t="str">
        <f t="shared" si="0"/>
        <v>Monday</v>
      </c>
    </row>
    <row r="75" spans="1:13" x14ac:dyDescent="0.25">
      <c r="A75" s="6">
        <v>1074</v>
      </c>
      <c r="B75" s="7">
        <v>44949.161801504626</v>
      </c>
      <c r="C75" s="7">
        <v>44949.161801504626</v>
      </c>
      <c r="D75" s="8">
        <v>44949.161801504626</v>
      </c>
      <c r="E75" s="9" t="s">
        <v>80</v>
      </c>
      <c r="F75" s="9" t="s">
        <v>5</v>
      </c>
      <c r="G75" s="9" t="s">
        <v>2</v>
      </c>
      <c r="H75" s="9" t="s">
        <v>20</v>
      </c>
      <c r="I75" s="9">
        <v>2</v>
      </c>
      <c r="J75" s="9">
        <v>143</v>
      </c>
      <c r="K75" s="10">
        <v>286</v>
      </c>
      <c r="L75" s="9">
        <f>HOUR([1]restaurant_sales_1200!$B75)</f>
        <v>3</v>
      </c>
      <c r="M75" s="9" t="str">
        <f t="shared" si="0"/>
        <v>Tuesday</v>
      </c>
    </row>
    <row r="76" spans="1:13" x14ac:dyDescent="0.25">
      <c r="A76" s="6">
        <v>1075</v>
      </c>
      <c r="B76" s="7">
        <v>44949.465387824072</v>
      </c>
      <c r="C76" s="7">
        <v>44949.465387824072</v>
      </c>
      <c r="D76" s="8">
        <v>44949.465387824072</v>
      </c>
      <c r="E76" s="9" t="s">
        <v>81</v>
      </c>
      <c r="F76" s="9" t="s">
        <v>8</v>
      </c>
      <c r="G76" s="9" t="s">
        <v>30</v>
      </c>
      <c r="H76" s="9" t="s">
        <v>3</v>
      </c>
      <c r="I76" s="9">
        <v>5</v>
      </c>
      <c r="J76" s="9">
        <v>916</v>
      </c>
      <c r="K76" s="10">
        <v>4580</v>
      </c>
      <c r="L76" s="9">
        <f>HOUR([1]restaurant_sales_1200!$B76)</f>
        <v>11</v>
      </c>
      <c r="M76" s="9" t="str">
        <f t="shared" si="0"/>
        <v>Wednesday</v>
      </c>
    </row>
    <row r="77" spans="1:13" x14ac:dyDescent="0.25">
      <c r="A77" s="6">
        <v>1076</v>
      </c>
      <c r="B77" s="7">
        <v>44949.768974143517</v>
      </c>
      <c r="C77" s="7">
        <v>44949.768974143517</v>
      </c>
      <c r="D77" s="8">
        <v>44949.768974143517</v>
      </c>
      <c r="E77" s="9" t="s">
        <v>38</v>
      </c>
      <c r="F77" s="9" t="s">
        <v>5</v>
      </c>
      <c r="G77" s="9" t="s">
        <v>2</v>
      </c>
      <c r="H77" s="9" t="s">
        <v>10</v>
      </c>
      <c r="I77" s="9">
        <v>2</v>
      </c>
      <c r="J77" s="9">
        <v>116</v>
      </c>
      <c r="K77" s="10">
        <v>232</v>
      </c>
      <c r="L77" s="9">
        <f>HOUR([1]restaurant_sales_1200!$B77)</f>
        <v>18</v>
      </c>
      <c r="M77" s="9" t="str">
        <f t="shared" si="0"/>
        <v>Thursday</v>
      </c>
    </row>
    <row r="78" spans="1:13" x14ac:dyDescent="0.25">
      <c r="A78" s="6">
        <v>1077</v>
      </c>
      <c r="B78" s="7">
        <v>44950.072560462962</v>
      </c>
      <c r="C78" s="7">
        <v>44950.072560462962</v>
      </c>
      <c r="D78" s="8">
        <v>44950.072560462962</v>
      </c>
      <c r="E78" s="9" t="s">
        <v>82</v>
      </c>
      <c r="F78" s="9" t="s">
        <v>1</v>
      </c>
      <c r="G78" s="9" t="s">
        <v>30</v>
      </c>
      <c r="H78" s="9" t="s">
        <v>13</v>
      </c>
      <c r="I78" s="9">
        <v>1</v>
      </c>
      <c r="J78" s="9">
        <v>429</v>
      </c>
      <c r="K78" s="10">
        <v>429</v>
      </c>
      <c r="L78" s="9">
        <f>HOUR([1]restaurant_sales_1200!$B78)</f>
        <v>1</v>
      </c>
      <c r="M78" s="9" t="str">
        <f t="shared" si="0"/>
        <v>Friday</v>
      </c>
    </row>
    <row r="79" spans="1:13" x14ac:dyDescent="0.25">
      <c r="A79" s="6">
        <v>1078</v>
      </c>
      <c r="B79" s="7">
        <v>44950.376146793984</v>
      </c>
      <c r="C79" s="7">
        <v>44950.376146793984</v>
      </c>
      <c r="D79" s="8">
        <v>44950.376146793984</v>
      </c>
      <c r="E79" s="9" t="s">
        <v>83</v>
      </c>
      <c r="F79" s="9" t="s">
        <v>19</v>
      </c>
      <c r="G79" s="9" t="s">
        <v>2</v>
      </c>
      <c r="H79" s="9" t="s">
        <v>13</v>
      </c>
      <c r="I79" s="9">
        <v>4</v>
      </c>
      <c r="J79" s="9">
        <v>668</v>
      </c>
      <c r="K79" s="10">
        <v>2672</v>
      </c>
      <c r="L79" s="9">
        <f>HOUR([1]restaurant_sales_1200!$B79)</f>
        <v>9</v>
      </c>
      <c r="M79" s="9" t="str">
        <f t="shared" si="0"/>
        <v>Saturday</v>
      </c>
    </row>
    <row r="80" spans="1:13" x14ac:dyDescent="0.25">
      <c r="A80" s="6">
        <v>1079</v>
      </c>
      <c r="B80" s="7">
        <v>44950.679733113429</v>
      </c>
      <c r="C80" s="7">
        <v>44950.679733113429</v>
      </c>
      <c r="D80" s="8">
        <v>44950.679733113429</v>
      </c>
      <c r="E80" s="9" t="s">
        <v>84</v>
      </c>
      <c r="F80" s="9" t="s">
        <v>19</v>
      </c>
      <c r="G80" s="9" t="s">
        <v>30</v>
      </c>
      <c r="H80" s="9" t="s">
        <v>3</v>
      </c>
      <c r="I80" s="9">
        <v>4</v>
      </c>
      <c r="J80" s="9">
        <v>922</v>
      </c>
      <c r="K80" s="10">
        <v>3688</v>
      </c>
      <c r="L80" s="9">
        <f>HOUR([1]restaurant_sales_1200!$B80)</f>
        <v>16</v>
      </c>
      <c r="M80" s="9" t="str">
        <f t="shared" si="0"/>
        <v>Sunday</v>
      </c>
    </row>
    <row r="81" spans="1:13" x14ac:dyDescent="0.25">
      <c r="A81" s="6">
        <v>1080</v>
      </c>
      <c r="B81" s="7">
        <v>44950.983319432868</v>
      </c>
      <c r="C81" s="7">
        <v>44950.983319432868</v>
      </c>
      <c r="D81" s="8">
        <v>44950.983319432868</v>
      </c>
      <c r="E81" s="9" t="s">
        <v>23</v>
      </c>
      <c r="F81" s="9" t="s">
        <v>1</v>
      </c>
      <c r="G81" s="9" t="s">
        <v>30</v>
      </c>
      <c r="H81" s="9" t="s">
        <v>26</v>
      </c>
      <c r="I81" s="9">
        <v>4</v>
      </c>
      <c r="J81" s="9">
        <v>596</v>
      </c>
      <c r="K81" s="10">
        <v>2384</v>
      </c>
      <c r="L81" s="9">
        <f>HOUR([1]restaurant_sales_1200!$B81)</f>
        <v>23</v>
      </c>
      <c r="M81" s="9" t="str">
        <f t="shared" si="0"/>
        <v>Monday</v>
      </c>
    </row>
    <row r="82" spans="1:13" x14ac:dyDescent="0.25">
      <c r="A82" s="6">
        <v>1081</v>
      </c>
      <c r="B82" s="7">
        <v>44951.286905752313</v>
      </c>
      <c r="C82" s="7">
        <v>44951.286905752313</v>
      </c>
      <c r="D82" s="8">
        <v>44951.286905752313</v>
      </c>
      <c r="E82" s="9" t="s">
        <v>85</v>
      </c>
      <c r="F82" s="9" t="s">
        <v>19</v>
      </c>
      <c r="G82" s="9" t="s">
        <v>2</v>
      </c>
      <c r="H82" s="9" t="s">
        <v>3</v>
      </c>
      <c r="I82" s="9">
        <v>5</v>
      </c>
      <c r="J82" s="9">
        <v>914</v>
      </c>
      <c r="K82" s="10">
        <v>4570</v>
      </c>
      <c r="L82" s="9">
        <f>HOUR([1]restaurant_sales_1200!$B82)</f>
        <v>6</v>
      </c>
      <c r="M82" s="9" t="str">
        <f t="shared" si="0"/>
        <v>Tuesday</v>
      </c>
    </row>
    <row r="83" spans="1:13" x14ac:dyDescent="0.25">
      <c r="A83" s="6">
        <v>1082</v>
      </c>
      <c r="B83" s="7">
        <v>44951.590492071758</v>
      </c>
      <c r="C83" s="7">
        <v>44951.590492071758</v>
      </c>
      <c r="D83" s="8">
        <v>44951.590492071758</v>
      </c>
      <c r="E83" s="9" t="s">
        <v>86</v>
      </c>
      <c r="F83" s="9" t="s">
        <v>5</v>
      </c>
      <c r="G83" s="9" t="s">
        <v>30</v>
      </c>
      <c r="H83" s="9" t="s">
        <v>16</v>
      </c>
      <c r="I83" s="9">
        <v>1</v>
      </c>
      <c r="J83" s="9">
        <v>111</v>
      </c>
      <c r="K83" s="10">
        <v>111</v>
      </c>
      <c r="L83" s="9">
        <f>HOUR([1]restaurant_sales_1200!$B83)</f>
        <v>14</v>
      </c>
      <c r="M83" s="9" t="str">
        <f t="shared" si="0"/>
        <v>Wednesday</v>
      </c>
    </row>
    <row r="84" spans="1:13" x14ac:dyDescent="0.25">
      <c r="A84" s="6">
        <v>1083</v>
      </c>
      <c r="B84" s="7">
        <v>44951.89407840278</v>
      </c>
      <c r="C84" s="7">
        <v>44951.89407840278</v>
      </c>
      <c r="D84" s="8">
        <v>44951.89407840278</v>
      </c>
      <c r="E84" s="9" t="s">
        <v>87</v>
      </c>
      <c r="F84" s="9" t="s">
        <v>8</v>
      </c>
      <c r="G84" s="9" t="s">
        <v>9</v>
      </c>
      <c r="H84" s="9" t="s">
        <v>31</v>
      </c>
      <c r="I84" s="9">
        <v>5</v>
      </c>
      <c r="J84" s="9">
        <v>417</v>
      </c>
      <c r="K84" s="10">
        <v>2085</v>
      </c>
      <c r="L84" s="9">
        <f>HOUR([1]restaurant_sales_1200!$B84)</f>
        <v>21</v>
      </c>
      <c r="M84" s="9" t="str">
        <f t="shared" si="0"/>
        <v>Thursday</v>
      </c>
    </row>
    <row r="85" spans="1:13" x14ac:dyDescent="0.25">
      <c r="A85" s="6">
        <v>1084</v>
      </c>
      <c r="B85" s="7">
        <v>44952.197664722225</v>
      </c>
      <c r="C85" s="7">
        <v>44952.197664722225</v>
      </c>
      <c r="D85" s="8">
        <v>44952.197664722225</v>
      </c>
      <c r="E85" s="9" t="s">
        <v>88</v>
      </c>
      <c r="F85" s="9" t="s">
        <v>1</v>
      </c>
      <c r="G85" s="9" t="s">
        <v>15</v>
      </c>
      <c r="H85" s="9" t="s">
        <v>16</v>
      </c>
      <c r="I85" s="9">
        <v>5</v>
      </c>
      <c r="J85" s="9">
        <v>691</v>
      </c>
      <c r="K85" s="10">
        <v>3455</v>
      </c>
      <c r="L85" s="9">
        <f>HOUR([1]restaurant_sales_1200!$B85)</f>
        <v>4</v>
      </c>
      <c r="M85" s="9" t="str">
        <f t="shared" si="0"/>
        <v>Friday</v>
      </c>
    </row>
    <row r="86" spans="1:13" x14ac:dyDescent="0.25">
      <c r="A86" s="6">
        <v>1085</v>
      </c>
      <c r="B86" s="7">
        <v>44952.501251041664</v>
      </c>
      <c r="C86" s="7">
        <v>44952.501251041664</v>
      </c>
      <c r="D86" s="8">
        <v>44952.501251041664</v>
      </c>
      <c r="E86" s="9" t="s">
        <v>89</v>
      </c>
      <c r="F86" s="9" t="s">
        <v>19</v>
      </c>
      <c r="G86" s="9" t="s">
        <v>30</v>
      </c>
      <c r="H86" s="9" t="s">
        <v>33</v>
      </c>
      <c r="I86" s="9">
        <v>1</v>
      </c>
      <c r="J86" s="9">
        <v>315</v>
      </c>
      <c r="K86" s="10">
        <v>315</v>
      </c>
      <c r="L86" s="9">
        <f>HOUR([1]restaurant_sales_1200!$B86)</f>
        <v>12</v>
      </c>
      <c r="M86" s="9" t="str">
        <f t="shared" si="0"/>
        <v>Saturday</v>
      </c>
    </row>
    <row r="87" spans="1:13" x14ac:dyDescent="0.25">
      <c r="A87" s="6">
        <v>1086</v>
      </c>
      <c r="B87" s="7">
        <v>44952.804837361109</v>
      </c>
      <c r="C87" s="7">
        <v>44952.804837361109</v>
      </c>
      <c r="D87" s="8">
        <v>44952.804837361109</v>
      </c>
      <c r="E87" s="9" t="s">
        <v>90</v>
      </c>
      <c r="F87" s="9" t="s">
        <v>1</v>
      </c>
      <c r="G87" s="9" t="s">
        <v>30</v>
      </c>
      <c r="H87" s="9" t="s">
        <v>26</v>
      </c>
      <c r="I87" s="9">
        <v>1</v>
      </c>
      <c r="J87" s="9">
        <v>438</v>
      </c>
      <c r="K87" s="10">
        <v>438</v>
      </c>
      <c r="L87" s="9">
        <f>HOUR([1]restaurant_sales_1200!$B87)</f>
        <v>19</v>
      </c>
      <c r="M87" s="9" t="str">
        <f t="shared" si="0"/>
        <v>Sunday</v>
      </c>
    </row>
    <row r="88" spans="1:13" x14ac:dyDescent="0.25">
      <c r="A88" s="6">
        <v>1087</v>
      </c>
      <c r="B88" s="7">
        <v>44953.108423692131</v>
      </c>
      <c r="C88" s="7">
        <v>44953.108423692131</v>
      </c>
      <c r="D88" s="8">
        <v>44953.108423692131</v>
      </c>
      <c r="E88" s="9" t="s">
        <v>85</v>
      </c>
      <c r="F88" s="9" t="s">
        <v>5</v>
      </c>
      <c r="G88" s="9" t="s">
        <v>9</v>
      </c>
      <c r="H88" s="9" t="s">
        <v>26</v>
      </c>
      <c r="I88" s="9">
        <v>1</v>
      </c>
      <c r="J88" s="9">
        <v>875</v>
      </c>
      <c r="K88" s="10">
        <v>875</v>
      </c>
      <c r="L88" s="9">
        <f>HOUR([1]restaurant_sales_1200!$B88)</f>
        <v>2</v>
      </c>
      <c r="M88" s="9" t="str">
        <f t="shared" si="0"/>
        <v>Monday</v>
      </c>
    </row>
    <row r="89" spans="1:13" x14ac:dyDescent="0.25">
      <c r="A89" s="6">
        <v>1088</v>
      </c>
      <c r="B89" s="7">
        <v>44953.412010011576</v>
      </c>
      <c r="C89" s="7">
        <v>44953.412010011576</v>
      </c>
      <c r="D89" s="8">
        <v>44953.412010011576</v>
      </c>
      <c r="E89" s="9" t="s">
        <v>89</v>
      </c>
      <c r="F89" s="9" t="s">
        <v>19</v>
      </c>
      <c r="G89" s="9" t="s">
        <v>9</v>
      </c>
      <c r="H89" s="9" t="s">
        <v>26</v>
      </c>
      <c r="I89" s="9">
        <v>1</v>
      </c>
      <c r="J89" s="9">
        <v>760</v>
      </c>
      <c r="K89" s="10">
        <v>760</v>
      </c>
      <c r="L89" s="9">
        <f>HOUR([1]restaurant_sales_1200!$B89)</f>
        <v>9</v>
      </c>
      <c r="M89" s="9" t="str">
        <f t="shared" si="0"/>
        <v>Tuesday</v>
      </c>
    </row>
    <row r="90" spans="1:13" x14ac:dyDescent="0.25">
      <c r="A90" s="6">
        <v>1089</v>
      </c>
      <c r="B90" s="7">
        <v>44953.715596331022</v>
      </c>
      <c r="C90" s="7">
        <v>44953.715596331022</v>
      </c>
      <c r="D90" s="8">
        <v>44953.715596331022</v>
      </c>
      <c r="E90" s="9" t="s">
        <v>91</v>
      </c>
      <c r="F90" s="9" t="s">
        <v>19</v>
      </c>
      <c r="G90" s="9" t="s">
        <v>6</v>
      </c>
      <c r="H90" s="9" t="s">
        <v>31</v>
      </c>
      <c r="I90" s="9">
        <v>4</v>
      </c>
      <c r="J90" s="9">
        <v>180</v>
      </c>
      <c r="K90" s="10">
        <v>720</v>
      </c>
      <c r="L90" s="9">
        <f>HOUR([1]restaurant_sales_1200!$B90)</f>
        <v>17</v>
      </c>
      <c r="M90" s="9" t="str">
        <f t="shared" si="0"/>
        <v>Wednesday</v>
      </c>
    </row>
    <row r="91" spans="1:13" x14ac:dyDescent="0.25">
      <c r="A91" s="6">
        <v>1090</v>
      </c>
      <c r="B91" s="7">
        <v>44954.01918265046</v>
      </c>
      <c r="C91" s="7">
        <v>44954.01918265046</v>
      </c>
      <c r="D91" s="8">
        <v>44954.01918265046</v>
      </c>
      <c r="E91" s="9" t="s">
        <v>92</v>
      </c>
      <c r="F91" s="9" t="s">
        <v>19</v>
      </c>
      <c r="G91" s="9" t="s">
        <v>15</v>
      </c>
      <c r="H91" s="9" t="s">
        <v>16</v>
      </c>
      <c r="I91" s="9">
        <v>3</v>
      </c>
      <c r="J91" s="9">
        <v>826</v>
      </c>
      <c r="K91" s="10">
        <v>2478</v>
      </c>
      <c r="L91" s="9">
        <f>HOUR([1]restaurant_sales_1200!$B91)</f>
        <v>0</v>
      </c>
      <c r="M91" s="9" t="str">
        <f t="shared" si="0"/>
        <v>Thursday</v>
      </c>
    </row>
    <row r="92" spans="1:13" x14ac:dyDescent="0.25">
      <c r="A92" s="6">
        <v>1091</v>
      </c>
      <c r="B92" s="7">
        <v>44954.322768969905</v>
      </c>
      <c r="C92" s="7">
        <v>44954.322768969905</v>
      </c>
      <c r="D92" s="8">
        <v>44954.322768969905</v>
      </c>
      <c r="E92" s="9" t="s">
        <v>93</v>
      </c>
      <c r="F92" s="9" t="s">
        <v>19</v>
      </c>
      <c r="G92" s="9" t="s">
        <v>6</v>
      </c>
      <c r="H92" s="9" t="s">
        <v>20</v>
      </c>
      <c r="I92" s="9">
        <v>3</v>
      </c>
      <c r="J92" s="9">
        <v>584</v>
      </c>
      <c r="K92" s="10">
        <v>1752</v>
      </c>
      <c r="L92" s="9">
        <f>HOUR([1]restaurant_sales_1200!$B92)</f>
        <v>7</v>
      </c>
      <c r="M92" s="9" t="str">
        <f t="shared" si="0"/>
        <v>Friday</v>
      </c>
    </row>
    <row r="93" spans="1:13" x14ac:dyDescent="0.25">
      <c r="A93" s="6">
        <v>1092</v>
      </c>
      <c r="B93" s="7">
        <v>44954.626355300927</v>
      </c>
      <c r="C93" s="7">
        <v>44954.626355300927</v>
      </c>
      <c r="D93" s="8">
        <v>44954.626355300927</v>
      </c>
      <c r="E93" s="9" t="s">
        <v>94</v>
      </c>
      <c r="F93" s="9" t="s">
        <v>1</v>
      </c>
      <c r="G93" s="9" t="s">
        <v>30</v>
      </c>
      <c r="H93" s="9" t="s">
        <v>24</v>
      </c>
      <c r="I93" s="9">
        <v>1</v>
      </c>
      <c r="J93" s="9">
        <v>473</v>
      </c>
      <c r="K93" s="10">
        <v>473</v>
      </c>
      <c r="L93" s="9">
        <f>HOUR([1]restaurant_sales_1200!$B93)</f>
        <v>15</v>
      </c>
      <c r="M93" s="9" t="str">
        <f t="shared" si="0"/>
        <v>Saturday</v>
      </c>
    </row>
    <row r="94" spans="1:13" x14ac:dyDescent="0.25">
      <c r="A94" s="6">
        <v>1093</v>
      </c>
      <c r="B94" s="7">
        <v>44954.929941620372</v>
      </c>
      <c r="C94" s="7">
        <v>44954.929941620372</v>
      </c>
      <c r="D94" s="8">
        <v>44954.929941620372</v>
      </c>
      <c r="E94" s="9" t="s">
        <v>52</v>
      </c>
      <c r="F94" s="9" t="s">
        <v>5</v>
      </c>
      <c r="G94" s="9" t="s">
        <v>9</v>
      </c>
      <c r="H94" s="9" t="s">
        <v>31</v>
      </c>
      <c r="I94" s="9">
        <v>3</v>
      </c>
      <c r="J94" s="9">
        <v>809</v>
      </c>
      <c r="K94" s="10">
        <v>2427</v>
      </c>
      <c r="L94" s="9">
        <f>HOUR([1]restaurant_sales_1200!$B94)</f>
        <v>22</v>
      </c>
      <c r="M94" s="9" t="str">
        <f t="shared" si="0"/>
        <v>Sunday</v>
      </c>
    </row>
    <row r="95" spans="1:13" x14ac:dyDescent="0.25">
      <c r="A95" s="6">
        <v>1094</v>
      </c>
      <c r="B95" s="7">
        <v>44955.233527939818</v>
      </c>
      <c r="C95" s="7">
        <v>44955.233527939818</v>
      </c>
      <c r="D95" s="8">
        <v>44955.233527939818</v>
      </c>
      <c r="E95" s="9" t="s">
        <v>14</v>
      </c>
      <c r="F95" s="9" t="s">
        <v>5</v>
      </c>
      <c r="G95" s="9" t="s">
        <v>30</v>
      </c>
      <c r="H95" s="9" t="s">
        <v>10</v>
      </c>
      <c r="I95" s="9">
        <v>3</v>
      </c>
      <c r="J95" s="9">
        <v>299</v>
      </c>
      <c r="K95" s="10">
        <v>897</v>
      </c>
      <c r="L95" s="9">
        <f>HOUR([1]restaurant_sales_1200!$B95)</f>
        <v>5</v>
      </c>
      <c r="M95" s="9" t="str">
        <f t="shared" si="0"/>
        <v>Monday</v>
      </c>
    </row>
    <row r="96" spans="1:13" x14ac:dyDescent="0.25">
      <c r="A96" s="6">
        <v>1095</v>
      </c>
      <c r="B96" s="7">
        <v>44955.537114259256</v>
      </c>
      <c r="C96" s="7">
        <v>44955.537114259256</v>
      </c>
      <c r="D96" s="8">
        <v>44955.537114259256</v>
      </c>
      <c r="E96" s="9" t="s">
        <v>95</v>
      </c>
      <c r="F96" s="9" t="s">
        <v>8</v>
      </c>
      <c r="G96" s="9" t="s">
        <v>2</v>
      </c>
      <c r="H96" s="9" t="s">
        <v>24</v>
      </c>
      <c r="I96" s="9">
        <v>1</v>
      </c>
      <c r="J96" s="9">
        <v>636</v>
      </c>
      <c r="K96" s="10">
        <v>636</v>
      </c>
      <c r="L96" s="9">
        <f>HOUR([1]restaurant_sales_1200!$B96)</f>
        <v>12</v>
      </c>
      <c r="M96" s="9" t="str">
        <f t="shared" si="0"/>
        <v>Tuesday</v>
      </c>
    </row>
    <row r="97" spans="1:13" x14ac:dyDescent="0.25">
      <c r="A97" s="6">
        <v>1096</v>
      </c>
      <c r="B97" s="7">
        <v>44955.840700578701</v>
      </c>
      <c r="C97" s="7">
        <v>44955.840700578701</v>
      </c>
      <c r="D97" s="8">
        <v>44955.840700578701</v>
      </c>
      <c r="E97" s="9" t="s">
        <v>35</v>
      </c>
      <c r="F97" s="9" t="s">
        <v>1</v>
      </c>
      <c r="G97" s="9" t="s">
        <v>15</v>
      </c>
      <c r="H97" s="9" t="s">
        <v>3</v>
      </c>
      <c r="I97" s="9">
        <v>3</v>
      </c>
      <c r="J97" s="9">
        <v>565</v>
      </c>
      <c r="K97" s="10">
        <v>1695</v>
      </c>
      <c r="L97" s="9">
        <f>HOUR([1]restaurant_sales_1200!$B97)</f>
        <v>20</v>
      </c>
      <c r="M97" s="9" t="str">
        <f t="shared" si="0"/>
        <v>Wednesday</v>
      </c>
    </row>
    <row r="98" spans="1:13" x14ac:dyDescent="0.25">
      <c r="A98" s="6">
        <v>1097</v>
      </c>
      <c r="B98" s="7">
        <v>44956.144286909723</v>
      </c>
      <c r="C98" s="7">
        <v>44956.144286909723</v>
      </c>
      <c r="D98" s="8">
        <v>44956.144286909723</v>
      </c>
      <c r="E98" s="9" t="s">
        <v>96</v>
      </c>
      <c r="F98" s="9" t="s">
        <v>5</v>
      </c>
      <c r="G98" s="9" t="s">
        <v>2</v>
      </c>
      <c r="H98" s="9" t="s">
        <v>10</v>
      </c>
      <c r="I98" s="9">
        <v>5</v>
      </c>
      <c r="J98" s="9">
        <v>188</v>
      </c>
      <c r="K98" s="10">
        <v>940</v>
      </c>
      <c r="L98" s="9">
        <f>HOUR([1]restaurant_sales_1200!$B98)</f>
        <v>3</v>
      </c>
      <c r="M98" s="9" t="str">
        <f t="shared" si="0"/>
        <v>Thursday</v>
      </c>
    </row>
    <row r="99" spans="1:13" x14ac:dyDescent="0.25">
      <c r="A99" s="6">
        <v>1098</v>
      </c>
      <c r="B99" s="7">
        <v>44956.447873229168</v>
      </c>
      <c r="C99" s="7">
        <v>44956.447873229168</v>
      </c>
      <c r="D99" s="8">
        <v>44956.447873229168</v>
      </c>
      <c r="E99" s="9" t="s">
        <v>97</v>
      </c>
      <c r="F99" s="9" t="s">
        <v>1</v>
      </c>
      <c r="G99" s="9" t="s">
        <v>9</v>
      </c>
      <c r="H99" s="9" t="s">
        <v>33</v>
      </c>
      <c r="I99" s="9">
        <v>2</v>
      </c>
      <c r="J99" s="9">
        <v>367</v>
      </c>
      <c r="K99" s="10">
        <v>734</v>
      </c>
      <c r="L99" s="9">
        <f>HOUR([1]restaurant_sales_1200!$B99)</f>
        <v>10</v>
      </c>
      <c r="M99" s="9" t="str">
        <f t="shared" si="0"/>
        <v>Friday</v>
      </c>
    </row>
    <row r="100" spans="1:13" x14ac:dyDescent="0.25">
      <c r="A100" s="6">
        <v>1099</v>
      </c>
      <c r="B100" s="7">
        <v>44956.751459548614</v>
      </c>
      <c r="C100" s="7">
        <v>44956.751459548614</v>
      </c>
      <c r="D100" s="8">
        <v>44956.751459548614</v>
      </c>
      <c r="E100" s="9" t="s">
        <v>98</v>
      </c>
      <c r="F100" s="9" t="s">
        <v>1</v>
      </c>
      <c r="G100" s="9" t="s">
        <v>9</v>
      </c>
      <c r="H100" s="9" t="s">
        <v>47</v>
      </c>
      <c r="I100" s="9">
        <v>2</v>
      </c>
      <c r="J100" s="9">
        <v>754</v>
      </c>
      <c r="K100" s="10">
        <v>1508</v>
      </c>
      <c r="L100" s="9">
        <f>HOUR([1]restaurant_sales_1200!$B100)</f>
        <v>18</v>
      </c>
      <c r="M100" s="9" t="str">
        <f t="shared" si="0"/>
        <v>Saturday</v>
      </c>
    </row>
    <row r="101" spans="1:13" x14ac:dyDescent="0.25">
      <c r="A101" s="6">
        <v>1100</v>
      </c>
      <c r="B101" s="7">
        <v>44957.055045868059</v>
      </c>
      <c r="C101" s="7">
        <v>44957.055045868059</v>
      </c>
      <c r="D101" s="8">
        <v>44957.055045868059</v>
      </c>
      <c r="E101" s="9" t="s">
        <v>99</v>
      </c>
      <c r="F101" s="9" t="s">
        <v>5</v>
      </c>
      <c r="G101" s="9" t="s">
        <v>9</v>
      </c>
      <c r="H101" s="9" t="s">
        <v>47</v>
      </c>
      <c r="I101" s="9">
        <v>1</v>
      </c>
      <c r="J101" s="9">
        <v>670</v>
      </c>
      <c r="K101" s="10">
        <v>670</v>
      </c>
      <c r="L101" s="9">
        <f>HOUR([1]restaurant_sales_1200!$B101)</f>
        <v>1</v>
      </c>
      <c r="M101" s="9" t="str">
        <f t="shared" si="0"/>
        <v>Sunday</v>
      </c>
    </row>
    <row r="102" spans="1:13" x14ac:dyDescent="0.25">
      <c r="A102" s="6">
        <v>1101</v>
      </c>
      <c r="B102" s="7">
        <v>44957.358632199073</v>
      </c>
      <c r="C102" s="7">
        <v>44957.358632199073</v>
      </c>
      <c r="D102" s="8">
        <v>44957.358632199073</v>
      </c>
      <c r="E102" s="9" t="s">
        <v>100</v>
      </c>
      <c r="F102" s="9" t="s">
        <v>8</v>
      </c>
      <c r="G102" s="9" t="s">
        <v>15</v>
      </c>
      <c r="H102" s="9" t="s">
        <v>20</v>
      </c>
      <c r="I102" s="9">
        <v>4</v>
      </c>
      <c r="J102" s="9">
        <v>588</v>
      </c>
      <c r="K102" s="10">
        <v>2352</v>
      </c>
      <c r="L102" s="9">
        <f>HOUR([1]restaurant_sales_1200!$B102)</f>
        <v>8</v>
      </c>
      <c r="M102" s="9" t="str">
        <f t="shared" si="0"/>
        <v>Monday</v>
      </c>
    </row>
    <row r="103" spans="1:13" x14ac:dyDescent="0.25">
      <c r="A103" s="6">
        <v>1102</v>
      </c>
      <c r="B103" s="7">
        <v>44957.662218518519</v>
      </c>
      <c r="C103" s="7">
        <v>44957.662218518519</v>
      </c>
      <c r="D103" s="8">
        <v>44957.662218518519</v>
      </c>
      <c r="E103" s="9" t="s">
        <v>101</v>
      </c>
      <c r="F103" s="9" t="s">
        <v>8</v>
      </c>
      <c r="G103" s="9" t="s">
        <v>6</v>
      </c>
      <c r="H103" s="9" t="s">
        <v>13</v>
      </c>
      <c r="I103" s="9">
        <v>1</v>
      </c>
      <c r="J103" s="9">
        <v>976</v>
      </c>
      <c r="K103" s="10">
        <v>976</v>
      </c>
      <c r="L103" s="9">
        <f>HOUR([1]restaurant_sales_1200!$B103)</f>
        <v>15</v>
      </c>
      <c r="M103" s="9" t="str">
        <f t="shared" si="0"/>
        <v>Tuesday</v>
      </c>
    </row>
    <row r="104" spans="1:13" x14ac:dyDescent="0.25">
      <c r="A104" s="6">
        <v>1103</v>
      </c>
      <c r="B104" s="7">
        <v>44957.965804837964</v>
      </c>
      <c r="C104" s="7">
        <v>44957.965804837964</v>
      </c>
      <c r="D104" s="8">
        <v>44957.965804837964</v>
      </c>
      <c r="E104" s="9" t="s">
        <v>61</v>
      </c>
      <c r="F104" s="9" t="s">
        <v>8</v>
      </c>
      <c r="G104" s="9" t="s">
        <v>30</v>
      </c>
      <c r="H104" s="9" t="s">
        <v>10</v>
      </c>
      <c r="I104" s="9">
        <v>4</v>
      </c>
      <c r="J104" s="9">
        <v>637</v>
      </c>
      <c r="K104" s="10">
        <v>2548</v>
      </c>
      <c r="L104" s="9">
        <f>HOUR([1]restaurant_sales_1200!$B104)</f>
        <v>23</v>
      </c>
      <c r="M104" s="9" t="str">
        <f t="shared" si="0"/>
        <v>Wednesday</v>
      </c>
    </row>
    <row r="105" spans="1:13" x14ac:dyDescent="0.25">
      <c r="A105" s="6">
        <v>1104</v>
      </c>
      <c r="B105" s="7">
        <v>44958.26939115741</v>
      </c>
      <c r="C105" s="7">
        <v>44958.26939115741</v>
      </c>
      <c r="D105" s="8">
        <v>44958.26939115741</v>
      </c>
      <c r="E105" s="9" t="s">
        <v>38</v>
      </c>
      <c r="F105" s="9" t="s">
        <v>19</v>
      </c>
      <c r="G105" s="9" t="s">
        <v>30</v>
      </c>
      <c r="H105" s="9" t="s">
        <v>26</v>
      </c>
      <c r="I105" s="9">
        <v>2</v>
      </c>
      <c r="J105" s="9">
        <v>146</v>
      </c>
      <c r="K105" s="10">
        <v>292</v>
      </c>
      <c r="L105" s="9">
        <f>HOUR([1]restaurant_sales_1200!$B105)</f>
        <v>6</v>
      </c>
      <c r="M105" s="9" t="str">
        <f t="shared" si="0"/>
        <v>Thursday</v>
      </c>
    </row>
    <row r="106" spans="1:13" x14ac:dyDescent="0.25">
      <c r="A106" s="6">
        <v>1105</v>
      </c>
      <c r="B106" s="7">
        <v>44958.572977476855</v>
      </c>
      <c r="C106" s="7">
        <v>44958.572977476855</v>
      </c>
      <c r="D106" s="8">
        <v>44958.572977476855</v>
      </c>
      <c r="E106" s="9" t="s">
        <v>102</v>
      </c>
      <c r="F106" s="9" t="s">
        <v>5</v>
      </c>
      <c r="G106" s="9" t="s">
        <v>30</v>
      </c>
      <c r="H106" s="9" t="s">
        <v>16</v>
      </c>
      <c r="I106" s="9">
        <v>1</v>
      </c>
      <c r="J106" s="9">
        <v>387</v>
      </c>
      <c r="K106" s="10">
        <v>387</v>
      </c>
      <c r="L106" s="9">
        <f>HOUR([1]restaurant_sales_1200!$B106)</f>
        <v>13</v>
      </c>
      <c r="M106" s="9" t="str">
        <f t="shared" si="0"/>
        <v>Friday</v>
      </c>
    </row>
    <row r="107" spans="1:13" x14ac:dyDescent="0.25">
      <c r="A107" s="6">
        <v>1106</v>
      </c>
      <c r="B107" s="7">
        <v>44958.876563807869</v>
      </c>
      <c r="C107" s="7">
        <v>44958.876563807869</v>
      </c>
      <c r="D107" s="8">
        <v>44958.876563807869</v>
      </c>
      <c r="E107" s="9" t="s">
        <v>103</v>
      </c>
      <c r="F107" s="9" t="s">
        <v>19</v>
      </c>
      <c r="G107" s="9" t="s">
        <v>30</v>
      </c>
      <c r="H107" s="9" t="s">
        <v>47</v>
      </c>
      <c r="I107" s="9">
        <v>5</v>
      </c>
      <c r="J107" s="9">
        <v>877</v>
      </c>
      <c r="K107" s="10">
        <v>4385</v>
      </c>
      <c r="L107" s="9">
        <f>HOUR([1]restaurant_sales_1200!$B107)</f>
        <v>21</v>
      </c>
      <c r="M107" s="9" t="str">
        <f t="shared" si="0"/>
        <v>Saturday</v>
      </c>
    </row>
    <row r="108" spans="1:13" x14ac:dyDescent="0.25">
      <c r="A108" s="6">
        <v>1107</v>
      </c>
      <c r="B108" s="7">
        <v>44959.180150127315</v>
      </c>
      <c r="C108" s="7">
        <v>44959.180150127315</v>
      </c>
      <c r="D108" s="8">
        <v>44959.180150127315</v>
      </c>
      <c r="E108" s="9" t="s">
        <v>104</v>
      </c>
      <c r="F108" s="9" t="s">
        <v>19</v>
      </c>
      <c r="G108" s="9" t="s">
        <v>30</v>
      </c>
      <c r="H108" s="9" t="s">
        <v>13</v>
      </c>
      <c r="I108" s="9">
        <v>3</v>
      </c>
      <c r="J108" s="9">
        <v>115</v>
      </c>
      <c r="K108" s="10">
        <v>345</v>
      </c>
      <c r="L108" s="9">
        <f>HOUR([1]restaurant_sales_1200!$B108)</f>
        <v>4</v>
      </c>
      <c r="M108" s="9" t="str">
        <f t="shared" si="0"/>
        <v>Sunday</v>
      </c>
    </row>
    <row r="109" spans="1:13" x14ac:dyDescent="0.25">
      <c r="A109" s="6">
        <v>1108</v>
      </c>
      <c r="B109" s="7">
        <v>44959.48373644676</v>
      </c>
      <c r="C109" s="7">
        <v>44959.48373644676</v>
      </c>
      <c r="D109" s="8">
        <v>44959.48373644676</v>
      </c>
      <c r="E109" s="9" t="s">
        <v>105</v>
      </c>
      <c r="F109" s="9" t="s">
        <v>19</v>
      </c>
      <c r="G109" s="9" t="s">
        <v>6</v>
      </c>
      <c r="H109" s="9" t="s">
        <v>47</v>
      </c>
      <c r="I109" s="9">
        <v>4</v>
      </c>
      <c r="J109" s="9">
        <v>810</v>
      </c>
      <c r="K109" s="10">
        <v>3240</v>
      </c>
      <c r="L109" s="9">
        <f>HOUR([1]restaurant_sales_1200!$B109)</f>
        <v>11</v>
      </c>
      <c r="M109" s="9" t="str">
        <f t="shared" si="0"/>
        <v>Monday</v>
      </c>
    </row>
    <row r="110" spans="1:13" x14ac:dyDescent="0.25">
      <c r="A110" s="6">
        <v>1109</v>
      </c>
      <c r="B110" s="7">
        <v>44959.787322766206</v>
      </c>
      <c r="C110" s="7">
        <v>44959.787322766206</v>
      </c>
      <c r="D110" s="8">
        <v>44959.787322766206</v>
      </c>
      <c r="E110" s="9" t="s">
        <v>106</v>
      </c>
      <c r="F110" s="9" t="s">
        <v>1</v>
      </c>
      <c r="G110" s="9" t="s">
        <v>2</v>
      </c>
      <c r="H110" s="9" t="s">
        <v>31</v>
      </c>
      <c r="I110" s="9">
        <v>3</v>
      </c>
      <c r="J110" s="9">
        <v>500</v>
      </c>
      <c r="K110" s="10">
        <v>1500</v>
      </c>
      <c r="L110" s="9">
        <f>HOUR([1]restaurant_sales_1200!$B110)</f>
        <v>18</v>
      </c>
      <c r="M110" s="9" t="str">
        <f t="shared" si="0"/>
        <v>Tuesday</v>
      </c>
    </row>
    <row r="111" spans="1:13" x14ac:dyDescent="0.25">
      <c r="A111" s="6">
        <v>1110</v>
      </c>
      <c r="B111" s="7">
        <v>44960.090909085651</v>
      </c>
      <c r="C111" s="7">
        <v>44960.090909085651</v>
      </c>
      <c r="D111" s="8">
        <v>44960.090909085651</v>
      </c>
      <c r="E111" s="9" t="s">
        <v>107</v>
      </c>
      <c r="F111" s="9" t="s">
        <v>1</v>
      </c>
      <c r="G111" s="9" t="s">
        <v>15</v>
      </c>
      <c r="H111" s="9" t="s">
        <v>16</v>
      </c>
      <c r="I111" s="9">
        <v>3</v>
      </c>
      <c r="J111" s="9">
        <v>893</v>
      </c>
      <c r="K111" s="10">
        <v>2679</v>
      </c>
      <c r="L111" s="9">
        <f>HOUR([1]restaurant_sales_1200!$B111)</f>
        <v>2</v>
      </c>
      <c r="M111" s="9" t="str">
        <f t="shared" si="0"/>
        <v>Wednesday</v>
      </c>
    </row>
    <row r="112" spans="1:13" x14ac:dyDescent="0.25">
      <c r="A112" s="6">
        <v>1111</v>
      </c>
      <c r="B112" s="7">
        <v>44960.394495416665</v>
      </c>
      <c r="C112" s="7">
        <v>44960.394495416665</v>
      </c>
      <c r="D112" s="8">
        <v>44960.394495416665</v>
      </c>
      <c r="E112" s="9" t="s">
        <v>108</v>
      </c>
      <c r="F112" s="9" t="s">
        <v>5</v>
      </c>
      <c r="G112" s="9" t="s">
        <v>2</v>
      </c>
      <c r="H112" s="9" t="s">
        <v>13</v>
      </c>
      <c r="I112" s="9">
        <v>1</v>
      </c>
      <c r="J112" s="9">
        <v>185</v>
      </c>
      <c r="K112" s="10">
        <v>185</v>
      </c>
      <c r="L112" s="9">
        <f>HOUR([1]restaurant_sales_1200!$B112)</f>
        <v>9</v>
      </c>
      <c r="M112" s="9" t="str">
        <f t="shared" si="0"/>
        <v>Thursday</v>
      </c>
    </row>
    <row r="113" spans="1:13" x14ac:dyDescent="0.25">
      <c r="A113" s="6">
        <v>1112</v>
      </c>
      <c r="B113" s="7">
        <v>44960.698081736111</v>
      </c>
      <c r="C113" s="7">
        <v>44960.698081736111</v>
      </c>
      <c r="D113" s="8">
        <v>44960.698081736111</v>
      </c>
      <c r="E113" s="9" t="s">
        <v>42</v>
      </c>
      <c r="F113" s="9" t="s">
        <v>5</v>
      </c>
      <c r="G113" s="9" t="s">
        <v>2</v>
      </c>
      <c r="H113" s="9" t="s">
        <v>47</v>
      </c>
      <c r="I113" s="9">
        <v>3</v>
      </c>
      <c r="J113" s="9">
        <v>349</v>
      </c>
      <c r="K113" s="10">
        <v>1047</v>
      </c>
      <c r="L113" s="9">
        <f>HOUR([1]restaurant_sales_1200!$B113)</f>
        <v>16</v>
      </c>
      <c r="M113" s="9" t="str">
        <f t="shared" si="0"/>
        <v>Friday</v>
      </c>
    </row>
    <row r="114" spans="1:13" x14ac:dyDescent="0.25">
      <c r="A114" s="6">
        <v>1113</v>
      </c>
      <c r="B114" s="7">
        <v>44961.001668055556</v>
      </c>
      <c r="C114" s="7">
        <v>44961.001668055556</v>
      </c>
      <c r="D114" s="8">
        <v>44961.001668055556</v>
      </c>
      <c r="E114" s="9" t="s">
        <v>22</v>
      </c>
      <c r="F114" s="9" t="s">
        <v>1</v>
      </c>
      <c r="G114" s="9" t="s">
        <v>30</v>
      </c>
      <c r="H114" s="9" t="s">
        <v>13</v>
      </c>
      <c r="I114" s="9">
        <v>5</v>
      </c>
      <c r="J114" s="9">
        <v>490</v>
      </c>
      <c r="K114" s="10">
        <v>2450</v>
      </c>
      <c r="L114" s="9">
        <f>HOUR([1]restaurant_sales_1200!$B114)</f>
        <v>0</v>
      </c>
      <c r="M114" s="9" t="str">
        <f t="shared" si="0"/>
        <v>Saturday</v>
      </c>
    </row>
    <row r="115" spans="1:13" x14ac:dyDescent="0.25">
      <c r="A115" s="6">
        <v>1114</v>
      </c>
      <c r="B115" s="7">
        <v>44961.305254375002</v>
      </c>
      <c r="C115" s="7">
        <v>44961.305254375002</v>
      </c>
      <c r="D115" s="8">
        <v>44961.305254375002</v>
      </c>
      <c r="E115" s="9" t="s">
        <v>109</v>
      </c>
      <c r="F115" s="9" t="s">
        <v>1</v>
      </c>
      <c r="G115" s="9" t="s">
        <v>30</v>
      </c>
      <c r="H115" s="9" t="s">
        <v>33</v>
      </c>
      <c r="I115" s="9">
        <v>3</v>
      </c>
      <c r="J115" s="9">
        <v>881</v>
      </c>
      <c r="K115" s="10">
        <v>2643</v>
      </c>
      <c r="L115" s="9">
        <f>HOUR([1]restaurant_sales_1200!$B115)</f>
        <v>7</v>
      </c>
      <c r="M115" s="9" t="str">
        <f t="shared" si="0"/>
        <v>Sunday</v>
      </c>
    </row>
    <row r="116" spans="1:13" x14ac:dyDescent="0.25">
      <c r="A116" s="6">
        <v>1115</v>
      </c>
      <c r="B116" s="7">
        <v>44961.608840706016</v>
      </c>
      <c r="C116" s="7">
        <v>44961.608840706016</v>
      </c>
      <c r="D116" s="8">
        <v>44961.608840706016</v>
      </c>
      <c r="E116" s="9" t="s">
        <v>110</v>
      </c>
      <c r="F116" s="9" t="s">
        <v>19</v>
      </c>
      <c r="G116" s="9" t="s">
        <v>6</v>
      </c>
      <c r="H116" s="9" t="s">
        <v>33</v>
      </c>
      <c r="I116" s="9">
        <v>1</v>
      </c>
      <c r="J116" s="9">
        <v>434</v>
      </c>
      <c r="K116" s="10">
        <v>434</v>
      </c>
      <c r="L116" s="9">
        <f>HOUR([1]restaurant_sales_1200!$B116)</f>
        <v>14</v>
      </c>
      <c r="M116" s="9" t="str">
        <f t="shared" si="0"/>
        <v>Monday</v>
      </c>
    </row>
    <row r="117" spans="1:13" x14ac:dyDescent="0.25">
      <c r="A117" s="6">
        <v>1116</v>
      </c>
      <c r="B117" s="7">
        <v>44961.912427025462</v>
      </c>
      <c r="C117" s="7">
        <v>44961.912427025462</v>
      </c>
      <c r="D117" s="8">
        <v>44961.912427025462</v>
      </c>
      <c r="E117" s="9" t="s">
        <v>111</v>
      </c>
      <c r="F117" s="9" t="s">
        <v>8</v>
      </c>
      <c r="G117" s="9" t="s">
        <v>15</v>
      </c>
      <c r="H117" s="9" t="s">
        <v>16</v>
      </c>
      <c r="I117" s="9">
        <v>5</v>
      </c>
      <c r="J117" s="9">
        <v>728</v>
      </c>
      <c r="K117" s="10">
        <v>3640</v>
      </c>
      <c r="L117" s="9">
        <f>HOUR([1]restaurant_sales_1200!$B117)</f>
        <v>21</v>
      </c>
      <c r="M117" s="9" t="str">
        <f t="shared" si="0"/>
        <v>Tuesday</v>
      </c>
    </row>
    <row r="118" spans="1:13" x14ac:dyDescent="0.25">
      <c r="A118" s="6">
        <v>1117</v>
      </c>
      <c r="B118" s="7">
        <v>44962.216013344907</v>
      </c>
      <c r="C118" s="7">
        <v>44962.216013344907</v>
      </c>
      <c r="D118" s="8">
        <v>44962.216013344907</v>
      </c>
      <c r="E118" s="9" t="s">
        <v>112</v>
      </c>
      <c r="F118" s="9" t="s">
        <v>8</v>
      </c>
      <c r="G118" s="9" t="s">
        <v>9</v>
      </c>
      <c r="H118" s="9" t="s">
        <v>3</v>
      </c>
      <c r="I118" s="9">
        <v>2</v>
      </c>
      <c r="J118" s="9">
        <v>618</v>
      </c>
      <c r="K118" s="10">
        <v>1236</v>
      </c>
      <c r="L118" s="9">
        <f>HOUR([1]restaurant_sales_1200!$B118)</f>
        <v>5</v>
      </c>
      <c r="M118" s="9" t="str">
        <f t="shared" si="0"/>
        <v>Wednesday</v>
      </c>
    </row>
    <row r="119" spans="1:13" x14ac:dyDescent="0.25">
      <c r="A119" s="6">
        <v>1118</v>
      </c>
      <c r="B119" s="7">
        <v>44962.519599664352</v>
      </c>
      <c r="C119" s="7">
        <v>44962.519599664352</v>
      </c>
      <c r="D119" s="8">
        <v>44962.519599664352</v>
      </c>
      <c r="E119" s="9" t="s">
        <v>113</v>
      </c>
      <c r="F119" s="9" t="s">
        <v>8</v>
      </c>
      <c r="G119" s="9" t="s">
        <v>2</v>
      </c>
      <c r="H119" s="9" t="s">
        <v>20</v>
      </c>
      <c r="I119" s="9">
        <v>3</v>
      </c>
      <c r="J119" s="9">
        <v>236</v>
      </c>
      <c r="K119" s="10">
        <v>708</v>
      </c>
      <c r="L119" s="9">
        <f>HOUR([1]restaurant_sales_1200!$B119)</f>
        <v>12</v>
      </c>
      <c r="M119" s="9" t="str">
        <f t="shared" si="0"/>
        <v>Thursday</v>
      </c>
    </row>
    <row r="120" spans="1:13" x14ac:dyDescent="0.25">
      <c r="A120" s="6">
        <v>1119</v>
      </c>
      <c r="B120" s="7">
        <v>44962.823185983798</v>
      </c>
      <c r="C120" s="7">
        <v>44962.823185983798</v>
      </c>
      <c r="D120" s="8">
        <v>44962.823185983798</v>
      </c>
      <c r="E120" s="9" t="s">
        <v>114</v>
      </c>
      <c r="F120" s="9" t="s">
        <v>8</v>
      </c>
      <c r="G120" s="9" t="s">
        <v>9</v>
      </c>
      <c r="H120" s="9" t="s">
        <v>47</v>
      </c>
      <c r="I120" s="9">
        <v>1</v>
      </c>
      <c r="J120" s="9">
        <v>982</v>
      </c>
      <c r="K120" s="10">
        <v>982</v>
      </c>
      <c r="L120" s="9">
        <f>HOUR([1]restaurant_sales_1200!$B120)</f>
        <v>19</v>
      </c>
      <c r="M120" s="9" t="str">
        <f t="shared" si="0"/>
        <v>Friday</v>
      </c>
    </row>
    <row r="121" spans="1:13" x14ac:dyDescent="0.25">
      <c r="A121" s="6">
        <v>1120</v>
      </c>
      <c r="B121" s="7">
        <v>44963.126772314812</v>
      </c>
      <c r="C121" s="7">
        <v>44963.126772314812</v>
      </c>
      <c r="D121" s="8">
        <v>44963.126772314812</v>
      </c>
      <c r="E121" s="9" t="s">
        <v>115</v>
      </c>
      <c r="F121" s="9" t="s">
        <v>8</v>
      </c>
      <c r="G121" s="9" t="s">
        <v>15</v>
      </c>
      <c r="H121" s="9" t="s">
        <v>26</v>
      </c>
      <c r="I121" s="9">
        <v>2</v>
      </c>
      <c r="J121" s="9">
        <v>787</v>
      </c>
      <c r="K121" s="10">
        <v>1574</v>
      </c>
      <c r="L121" s="9">
        <f>HOUR([1]restaurant_sales_1200!$B121)</f>
        <v>3</v>
      </c>
      <c r="M121" s="9" t="str">
        <f t="shared" si="0"/>
        <v>Saturday</v>
      </c>
    </row>
    <row r="122" spans="1:13" x14ac:dyDescent="0.25">
      <c r="A122" s="6">
        <v>1121</v>
      </c>
      <c r="B122" s="7">
        <v>44963.430358634258</v>
      </c>
      <c r="C122" s="7">
        <v>44963.430358634258</v>
      </c>
      <c r="D122" s="8">
        <v>44963.430358634258</v>
      </c>
      <c r="E122" s="9" t="s">
        <v>116</v>
      </c>
      <c r="F122" s="9" t="s">
        <v>19</v>
      </c>
      <c r="G122" s="9" t="s">
        <v>2</v>
      </c>
      <c r="H122" s="9" t="s">
        <v>47</v>
      </c>
      <c r="I122" s="9">
        <v>2</v>
      </c>
      <c r="J122" s="9">
        <v>939</v>
      </c>
      <c r="K122" s="10">
        <v>1878</v>
      </c>
      <c r="L122" s="9">
        <f>HOUR([1]restaurant_sales_1200!$B122)</f>
        <v>10</v>
      </c>
      <c r="M122" s="9" t="str">
        <f t="shared" si="0"/>
        <v>Sunday</v>
      </c>
    </row>
    <row r="123" spans="1:13" x14ac:dyDescent="0.25">
      <c r="A123" s="6">
        <v>1122</v>
      </c>
      <c r="B123" s="7">
        <v>44963.733944953703</v>
      </c>
      <c r="C123" s="7">
        <v>44963.733944953703</v>
      </c>
      <c r="D123" s="8">
        <v>44963.733944953703</v>
      </c>
      <c r="E123" s="9" t="s">
        <v>117</v>
      </c>
      <c r="F123" s="9" t="s">
        <v>5</v>
      </c>
      <c r="G123" s="9" t="s">
        <v>9</v>
      </c>
      <c r="H123" s="9" t="s">
        <v>16</v>
      </c>
      <c r="I123" s="9">
        <v>4</v>
      </c>
      <c r="J123" s="9">
        <v>597</v>
      </c>
      <c r="K123" s="10">
        <v>2388</v>
      </c>
      <c r="L123" s="9">
        <f>HOUR([1]restaurant_sales_1200!$B123)</f>
        <v>17</v>
      </c>
      <c r="M123" s="9" t="str">
        <f t="shared" si="0"/>
        <v>Monday</v>
      </c>
    </row>
    <row r="124" spans="1:13" x14ac:dyDescent="0.25">
      <c r="A124" s="6">
        <v>1123</v>
      </c>
      <c r="B124" s="7">
        <v>44964.037531273148</v>
      </c>
      <c r="C124" s="7">
        <v>44964.037531273148</v>
      </c>
      <c r="D124" s="8">
        <v>44964.037531273148</v>
      </c>
      <c r="E124" s="9" t="s">
        <v>55</v>
      </c>
      <c r="F124" s="9" t="s">
        <v>1</v>
      </c>
      <c r="G124" s="9" t="s">
        <v>9</v>
      </c>
      <c r="H124" s="9" t="s">
        <v>31</v>
      </c>
      <c r="I124" s="9">
        <v>5</v>
      </c>
      <c r="J124" s="9">
        <v>926</v>
      </c>
      <c r="K124" s="10">
        <v>4630</v>
      </c>
      <c r="L124" s="9">
        <f>HOUR([1]restaurant_sales_1200!$B124)</f>
        <v>0</v>
      </c>
      <c r="M124" s="9" t="str">
        <f t="shared" si="0"/>
        <v>Tuesday</v>
      </c>
    </row>
    <row r="125" spans="1:13" x14ac:dyDescent="0.25">
      <c r="A125" s="6">
        <v>1124</v>
      </c>
      <c r="B125" s="7">
        <v>44964.341117592594</v>
      </c>
      <c r="C125" s="7">
        <v>44964.341117592594</v>
      </c>
      <c r="D125" s="8">
        <v>44964.341117592594</v>
      </c>
      <c r="E125" s="9" t="s">
        <v>75</v>
      </c>
      <c r="F125" s="9" t="s">
        <v>19</v>
      </c>
      <c r="G125" s="9" t="s">
        <v>6</v>
      </c>
      <c r="H125" s="9" t="s">
        <v>47</v>
      </c>
      <c r="I125" s="9">
        <v>3</v>
      </c>
      <c r="J125" s="9">
        <v>826</v>
      </c>
      <c r="K125" s="10">
        <v>2478</v>
      </c>
      <c r="L125" s="9">
        <f>HOUR([1]restaurant_sales_1200!$B125)</f>
        <v>8</v>
      </c>
      <c r="M125" s="9" t="str">
        <f t="shared" si="0"/>
        <v>Wednesday</v>
      </c>
    </row>
    <row r="126" spans="1:13" x14ac:dyDescent="0.25">
      <c r="A126" s="6">
        <v>1125</v>
      </c>
      <c r="B126" s="7">
        <v>44964.644703923608</v>
      </c>
      <c r="C126" s="7">
        <v>44964.644703923608</v>
      </c>
      <c r="D126" s="8">
        <v>44964.644703923608</v>
      </c>
      <c r="E126" s="9" t="s">
        <v>43</v>
      </c>
      <c r="F126" s="9" t="s">
        <v>8</v>
      </c>
      <c r="G126" s="9" t="s">
        <v>15</v>
      </c>
      <c r="H126" s="9" t="s">
        <v>26</v>
      </c>
      <c r="I126" s="9">
        <v>1</v>
      </c>
      <c r="J126" s="9">
        <v>576</v>
      </c>
      <c r="K126" s="10">
        <v>576</v>
      </c>
      <c r="L126" s="9">
        <f>HOUR([1]restaurant_sales_1200!$B126)</f>
        <v>15</v>
      </c>
      <c r="M126" s="9" t="str">
        <f t="shared" si="0"/>
        <v>Thursday</v>
      </c>
    </row>
    <row r="127" spans="1:13" x14ac:dyDescent="0.25">
      <c r="A127" s="6">
        <v>1126</v>
      </c>
      <c r="B127" s="7">
        <v>44964.948290243054</v>
      </c>
      <c r="C127" s="7">
        <v>44964.948290243054</v>
      </c>
      <c r="D127" s="8">
        <v>44964.948290243054</v>
      </c>
      <c r="E127" s="9" t="s">
        <v>0</v>
      </c>
      <c r="F127" s="9" t="s">
        <v>1</v>
      </c>
      <c r="G127" s="9" t="s">
        <v>15</v>
      </c>
      <c r="H127" s="9" t="s">
        <v>10</v>
      </c>
      <c r="I127" s="9">
        <v>4</v>
      </c>
      <c r="J127" s="9">
        <v>693</v>
      </c>
      <c r="K127" s="10">
        <v>2772</v>
      </c>
      <c r="L127" s="9">
        <f>HOUR([1]restaurant_sales_1200!$B127)</f>
        <v>22</v>
      </c>
      <c r="M127" s="9" t="str">
        <f t="shared" si="0"/>
        <v>Friday</v>
      </c>
    </row>
    <row r="128" spans="1:13" x14ac:dyDescent="0.25">
      <c r="A128" s="6">
        <v>1127</v>
      </c>
      <c r="B128" s="7">
        <v>44965.251876562499</v>
      </c>
      <c r="C128" s="7">
        <v>44965.251876562499</v>
      </c>
      <c r="D128" s="8">
        <v>44965.251876562499</v>
      </c>
      <c r="E128" s="9" t="s">
        <v>60</v>
      </c>
      <c r="F128" s="9" t="s">
        <v>19</v>
      </c>
      <c r="G128" s="9" t="s">
        <v>15</v>
      </c>
      <c r="H128" s="9" t="s">
        <v>10</v>
      </c>
      <c r="I128" s="9">
        <v>5</v>
      </c>
      <c r="J128" s="9">
        <v>322</v>
      </c>
      <c r="K128" s="10">
        <v>1610</v>
      </c>
      <c r="L128" s="9">
        <f>HOUR([1]restaurant_sales_1200!$B128)</f>
        <v>6</v>
      </c>
      <c r="M128" s="9" t="str">
        <f t="shared" si="0"/>
        <v>Saturday</v>
      </c>
    </row>
    <row r="129" spans="1:13" x14ac:dyDescent="0.25">
      <c r="A129" s="6">
        <v>1128</v>
      </c>
      <c r="B129" s="7">
        <v>44965.555462881945</v>
      </c>
      <c r="C129" s="7">
        <v>44965.555462881945</v>
      </c>
      <c r="D129" s="8">
        <v>44965.555462881945</v>
      </c>
      <c r="E129" s="9" t="s">
        <v>118</v>
      </c>
      <c r="F129" s="9" t="s">
        <v>8</v>
      </c>
      <c r="G129" s="9" t="s">
        <v>2</v>
      </c>
      <c r="H129" s="9" t="s">
        <v>10</v>
      </c>
      <c r="I129" s="9">
        <v>4</v>
      </c>
      <c r="J129" s="9">
        <v>471</v>
      </c>
      <c r="K129" s="10">
        <v>1884</v>
      </c>
      <c r="L129" s="9">
        <f>HOUR([1]restaurant_sales_1200!$B129)</f>
        <v>13</v>
      </c>
      <c r="M129" s="9" t="str">
        <f t="shared" si="0"/>
        <v>Sunday</v>
      </c>
    </row>
    <row r="130" spans="1:13" x14ac:dyDescent="0.25">
      <c r="A130" s="6">
        <v>1129</v>
      </c>
      <c r="B130" s="7">
        <v>44965.859049212966</v>
      </c>
      <c r="C130" s="7">
        <v>44965.859049212966</v>
      </c>
      <c r="D130" s="8">
        <v>44965.859049212966</v>
      </c>
      <c r="E130" s="9" t="s">
        <v>119</v>
      </c>
      <c r="F130" s="9" t="s">
        <v>19</v>
      </c>
      <c r="G130" s="9" t="s">
        <v>6</v>
      </c>
      <c r="H130" s="9" t="s">
        <v>10</v>
      </c>
      <c r="I130" s="9">
        <v>5</v>
      </c>
      <c r="J130" s="9">
        <v>501</v>
      </c>
      <c r="K130" s="10">
        <v>2505</v>
      </c>
      <c r="L130" s="9">
        <f>HOUR([1]restaurant_sales_1200!$B130)</f>
        <v>20</v>
      </c>
      <c r="M130" s="9" t="str">
        <f t="shared" si="0"/>
        <v>Monday</v>
      </c>
    </row>
    <row r="131" spans="1:13" x14ac:dyDescent="0.25">
      <c r="A131" s="6">
        <v>1130</v>
      </c>
      <c r="B131" s="7">
        <v>44966.162635532404</v>
      </c>
      <c r="C131" s="7">
        <v>44966.162635532404</v>
      </c>
      <c r="D131" s="8">
        <v>44966.162635532404</v>
      </c>
      <c r="E131" s="9" t="s">
        <v>69</v>
      </c>
      <c r="F131" s="9" t="s">
        <v>1</v>
      </c>
      <c r="G131" s="9" t="s">
        <v>30</v>
      </c>
      <c r="H131" s="9" t="s">
        <v>16</v>
      </c>
      <c r="I131" s="9">
        <v>5</v>
      </c>
      <c r="J131" s="9">
        <v>542</v>
      </c>
      <c r="K131" s="10">
        <v>2710</v>
      </c>
      <c r="L131" s="9">
        <f>HOUR([1]restaurant_sales_1200!$B131)</f>
        <v>3</v>
      </c>
      <c r="M131" s="9" t="str">
        <f t="shared" si="0"/>
        <v>Tuesday</v>
      </c>
    </row>
    <row r="132" spans="1:13" x14ac:dyDescent="0.25">
      <c r="A132" s="6">
        <v>1131</v>
      </c>
      <c r="B132" s="7">
        <v>44966.46622185185</v>
      </c>
      <c r="C132" s="7">
        <v>44966.46622185185</v>
      </c>
      <c r="D132" s="8">
        <v>44966.46622185185</v>
      </c>
      <c r="E132" s="9" t="s">
        <v>120</v>
      </c>
      <c r="F132" s="9" t="s">
        <v>5</v>
      </c>
      <c r="G132" s="9" t="s">
        <v>2</v>
      </c>
      <c r="H132" s="9" t="s">
        <v>10</v>
      </c>
      <c r="I132" s="9">
        <v>3</v>
      </c>
      <c r="J132" s="9">
        <v>589</v>
      </c>
      <c r="K132" s="10">
        <v>1767</v>
      </c>
      <c r="L132" s="9">
        <f>HOUR([1]restaurant_sales_1200!$B132)</f>
        <v>11</v>
      </c>
      <c r="M132" s="9" t="str">
        <f t="shared" si="0"/>
        <v>Wednesday</v>
      </c>
    </row>
    <row r="133" spans="1:13" x14ac:dyDescent="0.25">
      <c r="A133" s="6">
        <v>1132</v>
      </c>
      <c r="B133" s="7">
        <v>44966.769808171295</v>
      </c>
      <c r="C133" s="7">
        <v>44966.769808171295</v>
      </c>
      <c r="D133" s="8">
        <v>44966.769808171295</v>
      </c>
      <c r="E133" s="9" t="s">
        <v>97</v>
      </c>
      <c r="F133" s="9" t="s">
        <v>8</v>
      </c>
      <c r="G133" s="9" t="s">
        <v>15</v>
      </c>
      <c r="H133" s="9" t="s">
        <v>33</v>
      </c>
      <c r="I133" s="9">
        <v>5</v>
      </c>
      <c r="J133" s="9">
        <v>714</v>
      </c>
      <c r="K133" s="10">
        <v>3570</v>
      </c>
      <c r="L133" s="9">
        <f>HOUR([1]restaurant_sales_1200!$B133)</f>
        <v>18</v>
      </c>
      <c r="M133" s="9" t="str">
        <f t="shared" si="0"/>
        <v>Thursday</v>
      </c>
    </row>
    <row r="134" spans="1:13" x14ac:dyDescent="0.25">
      <c r="A134" s="6">
        <v>1133</v>
      </c>
      <c r="B134" s="7">
        <v>44967.073394490741</v>
      </c>
      <c r="C134" s="7">
        <v>44967.073394490741</v>
      </c>
      <c r="D134" s="8">
        <v>44967.073394490741</v>
      </c>
      <c r="E134" s="9" t="s">
        <v>121</v>
      </c>
      <c r="F134" s="9" t="s">
        <v>1</v>
      </c>
      <c r="G134" s="9" t="s">
        <v>2</v>
      </c>
      <c r="H134" s="9" t="s">
        <v>33</v>
      </c>
      <c r="I134" s="9">
        <v>4</v>
      </c>
      <c r="J134" s="9">
        <v>372</v>
      </c>
      <c r="K134" s="10">
        <v>1488</v>
      </c>
      <c r="L134" s="9">
        <f>HOUR([1]restaurant_sales_1200!$B134)</f>
        <v>1</v>
      </c>
      <c r="M134" s="9" t="str">
        <f t="shared" si="0"/>
        <v>Friday</v>
      </c>
    </row>
    <row r="135" spans="1:13" x14ac:dyDescent="0.25">
      <c r="A135" s="6">
        <v>1134</v>
      </c>
      <c r="B135" s="7">
        <v>44967.376980821762</v>
      </c>
      <c r="C135" s="7">
        <v>44967.376980821762</v>
      </c>
      <c r="D135" s="8">
        <v>44967.376980821762</v>
      </c>
      <c r="E135" s="9" t="s">
        <v>122</v>
      </c>
      <c r="F135" s="9" t="s">
        <v>1</v>
      </c>
      <c r="G135" s="9" t="s">
        <v>9</v>
      </c>
      <c r="H135" s="9" t="s">
        <v>24</v>
      </c>
      <c r="I135" s="9">
        <v>5</v>
      </c>
      <c r="J135" s="9">
        <v>625</v>
      </c>
      <c r="K135" s="10">
        <v>3125</v>
      </c>
      <c r="L135" s="9">
        <f>HOUR([1]restaurant_sales_1200!$B135)</f>
        <v>9</v>
      </c>
      <c r="M135" s="9" t="str">
        <f t="shared" si="0"/>
        <v>Saturday</v>
      </c>
    </row>
    <row r="136" spans="1:13" x14ac:dyDescent="0.25">
      <c r="A136" s="6">
        <v>1135</v>
      </c>
      <c r="B136" s="7">
        <v>44967.6805671412</v>
      </c>
      <c r="C136" s="7">
        <v>44967.6805671412</v>
      </c>
      <c r="D136" s="8">
        <v>44967.6805671412</v>
      </c>
      <c r="E136" s="9" t="s">
        <v>123</v>
      </c>
      <c r="F136" s="9" t="s">
        <v>5</v>
      </c>
      <c r="G136" s="9" t="s">
        <v>2</v>
      </c>
      <c r="H136" s="9" t="s">
        <v>20</v>
      </c>
      <c r="I136" s="9">
        <v>3</v>
      </c>
      <c r="J136" s="9">
        <v>258</v>
      </c>
      <c r="K136" s="10">
        <v>774</v>
      </c>
      <c r="L136" s="9">
        <f>HOUR([1]restaurant_sales_1200!$B136)</f>
        <v>16</v>
      </c>
      <c r="M136" s="9" t="str">
        <f t="shared" si="0"/>
        <v>Sunday</v>
      </c>
    </row>
    <row r="137" spans="1:13" x14ac:dyDescent="0.25">
      <c r="A137" s="6">
        <v>1136</v>
      </c>
      <c r="B137" s="7">
        <v>44967.984153460646</v>
      </c>
      <c r="C137" s="7">
        <v>44967.984153460646</v>
      </c>
      <c r="D137" s="8">
        <v>44967.984153460646</v>
      </c>
      <c r="E137" s="9" t="s">
        <v>124</v>
      </c>
      <c r="F137" s="9" t="s">
        <v>19</v>
      </c>
      <c r="G137" s="9" t="s">
        <v>2</v>
      </c>
      <c r="H137" s="9" t="s">
        <v>13</v>
      </c>
      <c r="I137" s="9">
        <v>3</v>
      </c>
      <c r="J137" s="9">
        <v>251</v>
      </c>
      <c r="K137" s="10">
        <v>753</v>
      </c>
      <c r="L137" s="9">
        <f>HOUR([1]restaurant_sales_1200!$B137)</f>
        <v>23</v>
      </c>
      <c r="M137" s="9" t="str">
        <f t="shared" si="0"/>
        <v>Monday</v>
      </c>
    </row>
    <row r="138" spans="1:13" x14ac:dyDescent="0.25">
      <c r="A138" s="6">
        <v>1137</v>
      </c>
      <c r="B138" s="7">
        <v>44968.287739780091</v>
      </c>
      <c r="C138" s="7">
        <v>44968.287739780091</v>
      </c>
      <c r="D138" s="8">
        <v>44968.287739780091</v>
      </c>
      <c r="E138" s="9" t="s">
        <v>125</v>
      </c>
      <c r="F138" s="9" t="s">
        <v>5</v>
      </c>
      <c r="G138" s="9" t="s">
        <v>15</v>
      </c>
      <c r="H138" s="9" t="s">
        <v>33</v>
      </c>
      <c r="I138" s="9">
        <v>4</v>
      </c>
      <c r="J138" s="9">
        <v>719</v>
      </c>
      <c r="K138" s="10">
        <v>2876</v>
      </c>
      <c r="L138" s="9">
        <f>HOUR([1]restaurant_sales_1200!$B138)</f>
        <v>6</v>
      </c>
      <c r="M138" s="9" t="str">
        <f t="shared" si="0"/>
        <v>Tuesday</v>
      </c>
    </row>
    <row r="139" spans="1:13" x14ac:dyDescent="0.25">
      <c r="A139" s="6">
        <v>1138</v>
      </c>
      <c r="B139" s="7">
        <v>44968.591326099537</v>
      </c>
      <c r="C139" s="7">
        <v>44968.591326099537</v>
      </c>
      <c r="D139" s="8">
        <v>44968.591326099537</v>
      </c>
      <c r="E139" s="9" t="s">
        <v>123</v>
      </c>
      <c r="F139" s="9" t="s">
        <v>5</v>
      </c>
      <c r="G139" s="9" t="s">
        <v>9</v>
      </c>
      <c r="H139" s="9" t="s">
        <v>13</v>
      </c>
      <c r="I139" s="9">
        <v>2</v>
      </c>
      <c r="J139" s="9">
        <v>287</v>
      </c>
      <c r="K139" s="10">
        <v>574</v>
      </c>
      <c r="L139" s="9">
        <f>HOUR([1]restaurant_sales_1200!$B139)</f>
        <v>14</v>
      </c>
      <c r="M139" s="9" t="str">
        <f t="shared" si="0"/>
        <v>Wednesday</v>
      </c>
    </row>
    <row r="140" spans="1:13" x14ac:dyDescent="0.25">
      <c r="A140" s="6">
        <v>1139</v>
      </c>
      <c r="B140" s="7">
        <v>44968.894912430558</v>
      </c>
      <c r="C140" s="7">
        <v>44968.894912430558</v>
      </c>
      <c r="D140" s="8">
        <v>44968.894912430558</v>
      </c>
      <c r="E140" s="9" t="s">
        <v>36</v>
      </c>
      <c r="F140" s="9" t="s">
        <v>19</v>
      </c>
      <c r="G140" s="9" t="s">
        <v>15</v>
      </c>
      <c r="H140" s="9" t="s">
        <v>24</v>
      </c>
      <c r="I140" s="9">
        <v>2</v>
      </c>
      <c r="J140" s="9">
        <v>912</v>
      </c>
      <c r="K140" s="10">
        <v>1824</v>
      </c>
      <c r="L140" s="9">
        <f>HOUR([1]restaurant_sales_1200!$B140)</f>
        <v>21</v>
      </c>
      <c r="M140" s="9" t="str">
        <f t="shared" si="0"/>
        <v>Thursday</v>
      </c>
    </row>
    <row r="141" spans="1:13" x14ac:dyDescent="0.25">
      <c r="A141" s="6">
        <v>1140</v>
      </c>
      <c r="B141" s="7">
        <v>44969.198498750004</v>
      </c>
      <c r="C141" s="7">
        <v>44969.198498750004</v>
      </c>
      <c r="D141" s="8">
        <v>44969.198498750004</v>
      </c>
      <c r="E141" s="9" t="s">
        <v>108</v>
      </c>
      <c r="F141" s="9" t="s">
        <v>19</v>
      </c>
      <c r="G141" s="9" t="s">
        <v>9</v>
      </c>
      <c r="H141" s="9" t="s">
        <v>20</v>
      </c>
      <c r="I141" s="9">
        <v>5</v>
      </c>
      <c r="J141" s="9">
        <v>197</v>
      </c>
      <c r="K141" s="10">
        <v>985</v>
      </c>
      <c r="L141" s="9">
        <f>HOUR([1]restaurant_sales_1200!$B141)</f>
        <v>4</v>
      </c>
      <c r="M141" s="9" t="str">
        <f t="shared" si="0"/>
        <v>Friday</v>
      </c>
    </row>
    <row r="142" spans="1:13" x14ac:dyDescent="0.25">
      <c r="A142" s="6">
        <v>1141</v>
      </c>
      <c r="B142" s="7">
        <v>44969.502085069442</v>
      </c>
      <c r="C142" s="7">
        <v>44969.502085069442</v>
      </c>
      <c r="D142" s="8">
        <v>44969.502085069442</v>
      </c>
      <c r="E142" s="9" t="s">
        <v>126</v>
      </c>
      <c r="F142" s="9" t="s">
        <v>19</v>
      </c>
      <c r="G142" s="9" t="s">
        <v>9</v>
      </c>
      <c r="H142" s="9" t="s">
        <v>33</v>
      </c>
      <c r="I142" s="9">
        <v>1</v>
      </c>
      <c r="J142" s="9">
        <v>230</v>
      </c>
      <c r="K142" s="10">
        <v>230</v>
      </c>
      <c r="L142" s="9">
        <f>HOUR([1]restaurant_sales_1200!$B142)</f>
        <v>12</v>
      </c>
      <c r="M142" s="9" t="str">
        <f t="shared" si="0"/>
        <v>Saturday</v>
      </c>
    </row>
    <row r="143" spans="1:13" x14ac:dyDescent="0.25">
      <c r="A143" s="6">
        <v>1142</v>
      </c>
      <c r="B143" s="7">
        <v>44969.805671388887</v>
      </c>
      <c r="C143" s="7">
        <v>44969.805671388887</v>
      </c>
      <c r="D143" s="8">
        <v>44969.805671388887</v>
      </c>
      <c r="E143" s="9" t="s">
        <v>127</v>
      </c>
      <c r="F143" s="9" t="s">
        <v>1</v>
      </c>
      <c r="G143" s="9" t="s">
        <v>9</v>
      </c>
      <c r="H143" s="9" t="s">
        <v>33</v>
      </c>
      <c r="I143" s="9">
        <v>5</v>
      </c>
      <c r="J143" s="9">
        <v>904</v>
      </c>
      <c r="K143" s="10">
        <v>4520</v>
      </c>
      <c r="L143" s="9">
        <f>HOUR([1]restaurant_sales_1200!$B143)</f>
        <v>19</v>
      </c>
      <c r="M143" s="9" t="str">
        <f t="shared" si="0"/>
        <v>Sunday</v>
      </c>
    </row>
    <row r="144" spans="1:13" x14ac:dyDescent="0.25">
      <c r="A144" s="6">
        <v>1143</v>
      </c>
      <c r="B144" s="7">
        <v>44970.109257719909</v>
      </c>
      <c r="C144" s="7">
        <v>44970.109257719909</v>
      </c>
      <c r="D144" s="8">
        <v>44970.109257719909</v>
      </c>
      <c r="E144" s="9" t="s">
        <v>128</v>
      </c>
      <c r="F144" s="9" t="s">
        <v>1</v>
      </c>
      <c r="G144" s="9" t="s">
        <v>15</v>
      </c>
      <c r="H144" s="9" t="s">
        <v>20</v>
      </c>
      <c r="I144" s="9">
        <v>4</v>
      </c>
      <c r="J144" s="9">
        <v>270</v>
      </c>
      <c r="K144" s="10">
        <v>1080</v>
      </c>
      <c r="L144" s="9">
        <f>HOUR([1]restaurant_sales_1200!$B144)</f>
        <v>2</v>
      </c>
      <c r="M144" s="9" t="str">
        <f t="shared" si="0"/>
        <v>Monday</v>
      </c>
    </row>
    <row r="145" spans="1:13" x14ac:dyDescent="0.25">
      <c r="A145" s="6">
        <v>1144</v>
      </c>
      <c r="B145" s="7">
        <v>44970.412844039354</v>
      </c>
      <c r="C145" s="7">
        <v>44970.412844039354</v>
      </c>
      <c r="D145" s="8">
        <v>44970.412844039354</v>
      </c>
      <c r="E145" s="9" t="s">
        <v>129</v>
      </c>
      <c r="F145" s="9" t="s">
        <v>8</v>
      </c>
      <c r="G145" s="9" t="s">
        <v>9</v>
      </c>
      <c r="H145" s="9" t="s">
        <v>20</v>
      </c>
      <c r="I145" s="9">
        <v>4</v>
      </c>
      <c r="J145" s="9">
        <v>282</v>
      </c>
      <c r="K145" s="10">
        <v>1128</v>
      </c>
      <c r="L145" s="9">
        <f>HOUR([1]restaurant_sales_1200!$B145)</f>
        <v>9</v>
      </c>
      <c r="M145" s="9" t="str">
        <f t="shared" si="0"/>
        <v>Tuesday</v>
      </c>
    </row>
    <row r="146" spans="1:13" x14ac:dyDescent="0.25">
      <c r="A146" s="6">
        <v>1145</v>
      </c>
      <c r="B146" s="7">
        <v>44970.7164303588</v>
      </c>
      <c r="C146" s="7">
        <v>44970.7164303588</v>
      </c>
      <c r="D146" s="8">
        <v>44970.7164303588</v>
      </c>
      <c r="E146" s="9" t="s">
        <v>130</v>
      </c>
      <c r="F146" s="9" t="s">
        <v>8</v>
      </c>
      <c r="G146" s="9" t="s">
        <v>6</v>
      </c>
      <c r="H146" s="9" t="s">
        <v>13</v>
      </c>
      <c r="I146" s="9">
        <v>4</v>
      </c>
      <c r="J146" s="9">
        <v>463</v>
      </c>
      <c r="K146" s="10">
        <v>1852</v>
      </c>
      <c r="L146" s="9">
        <f>HOUR([1]restaurant_sales_1200!$B146)</f>
        <v>17</v>
      </c>
      <c r="M146" s="9" t="str">
        <f t="shared" si="0"/>
        <v>Wednesday</v>
      </c>
    </row>
    <row r="147" spans="1:13" x14ac:dyDescent="0.25">
      <c r="A147" s="6">
        <v>1146</v>
      </c>
      <c r="B147" s="7">
        <v>44971.020016678238</v>
      </c>
      <c r="C147" s="7">
        <v>44971.020016678238</v>
      </c>
      <c r="D147" s="8">
        <v>44971.020016678238</v>
      </c>
      <c r="E147" s="9" t="s">
        <v>131</v>
      </c>
      <c r="F147" s="9" t="s">
        <v>5</v>
      </c>
      <c r="G147" s="9" t="s">
        <v>6</v>
      </c>
      <c r="H147" s="9" t="s">
        <v>3</v>
      </c>
      <c r="I147" s="9">
        <v>4</v>
      </c>
      <c r="J147" s="9">
        <v>138</v>
      </c>
      <c r="K147" s="10">
        <v>552</v>
      </c>
      <c r="L147" s="9">
        <f>HOUR([1]restaurant_sales_1200!$B147)</f>
        <v>0</v>
      </c>
      <c r="M147" s="9" t="str">
        <f t="shared" si="0"/>
        <v>Thursday</v>
      </c>
    </row>
    <row r="148" spans="1:13" x14ac:dyDescent="0.25">
      <c r="A148" s="6">
        <v>1147</v>
      </c>
      <c r="B148" s="7">
        <v>44971.323602997683</v>
      </c>
      <c r="C148" s="7">
        <v>44971.323602997683</v>
      </c>
      <c r="D148" s="8">
        <v>44971.323602997683</v>
      </c>
      <c r="E148" s="9" t="s">
        <v>132</v>
      </c>
      <c r="F148" s="9" t="s">
        <v>5</v>
      </c>
      <c r="G148" s="9" t="s">
        <v>30</v>
      </c>
      <c r="H148" s="9" t="s">
        <v>47</v>
      </c>
      <c r="I148" s="9">
        <v>4</v>
      </c>
      <c r="J148" s="9">
        <v>626</v>
      </c>
      <c r="K148" s="10">
        <v>2504</v>
      </c>
      <c r="L148" s="9">
        <f>HOUR([1]restaurant_sales_1200!$B148)</f>
        <v>7</v>
      </c>
      <c r="M148" s="9" t="str">
        <f t="shared" si="0"/>
        <v>Friday</v>
      </c>
    </row>
    <row r="149" spans="1:13" x14ac:dyDescent="0.25">
      <c r="A149" s="6">
        <v>1148</v>
      </c>
      <c r="B149" s="7">
        <v>44971.627189328705</v>
      </c>
      <c r="C149" s="7">
        <v>44971.627189328705</v>
      </c>
      <c r="D149" s="8">
        <v>44971.627189328705</v>
      </c>
      <c r="E149" s="9" t="s">
        <v>133</v>
      </c>
      <c r="F149" s="9" t="s">
        <v>8</v>
      </c>
      <c r="G149" s="9" t="s">
        <v>6</v>
      </c>
      <c r="H149" s="9" t="s">
        <v>31</v>
      </c>
      <c r="I149" s="9">
        <v>3</v>
      </c>
      <c r="J149" s="9">
        <v>987</v>
      </c>
      <c r="K149" s="10">
        <v>2961</v>
      </c>
      <c r="L149" s="9">
        <f>HOUR([1]restaurant_sales_1200!$B149)</f>
        <v>15</v>
      </c>
      <c r="M149" s="9" t="str">
        <f t="shared" si="0"/>
        <v>Saturday</v>
      </c>
    </row>
    <row r="150" spans="1:13" x14ac:dyDescent="0.25">
      <c r="A150" s="6">
        <v>1149</v>
      </c>
      <c r="B150" s="7">
        <v>44971.93077564815</v>
      </c>
      <c r="C150" s="7">
        <v>44971.93077564815</v>
      </c>
      <c r="D150" s="8">
        <v>44971.93077564815</v>
      </c>
      <c r="E150" s="9" t="s">
        <v>0</v>
      </c>
      <c r="F150" s="9" t="s">
        <v>5</v>
      </c>
      <c r="G150" s="9" t="s">
        <v>30</v>
      </c>
      <c r="H150" s="9" t="s">
        <v>10</v>
      </c>
      <c r="I150" s="9">
        <v>2</v>
      </c>
      <c r="J150" s="9">
        <v>596</v>
      </c>
      <c r="K150" s="10">
        <v>1192</v>
      </c>
      <c r="L150" s="9">
        <f>HOUR([1]restaurant_sales_1200!$B150)</f>
        <v>22</v>
      </c>
      <c r="M150" s="9" t="str">
        <f t="shared" si="0"/>
        <v>Sunday</v>
      </c>
    </row>
    <row r="151" spans="1:13" x14ac:dyDescent="0.25">
      <c r="A151" s="6">
        <v>1150</v>
      </c>
      <c r="B151" s="7">
        <v>44972.234361967596</v>
      </c>
      <c r="C151" s="7">
        <v>44972.234361967596</v>
      </c>
      <c r="D151" s="8">
        <v>44972.234361967596</v>
      </c>
      <c r="E151" s="9" t="s">
        <v>61</v>
      </c>
      <c r="F151" s="9" t="s">
        <v>19</v>
      </c>
      <c r="G151" s="9" t="s">
        <v>6</v>
      </c>
      <c r="H151" s="9" t="s">
        <v>24</v>
      </c>
      <c r="I151" s="9">
        <v>4</v>
      </c>
      <c r="J151" s="9">
        <v>615</v>
      </c>
      <c r="K151" s="10">
        <v>2460</v>
      </c>
      <c r="L151" s="9">
        <f>HOUR([1]restaurant_sales_1200!$B151)</f>
        <v>5</v>
      </c>
      <c r="M151" s="9" t="str">
        <f t="shared" si="0"/>
        <v>Monday</v>
      </c>
    </row>
    <row r="152" spans="1:13" x14ac:dyDescent="0.25">
      <c r="A152" s="6">
        <v>1151</v>
      </c>
      <c r="B152" s="7">
        <v>44972.537948287034</v>
      </c>
      <c r="C152" s="7">
        <v>44972.537948287034</v>
      </c>
      <c r="D152" s="8">
        <v>44972.537948287034</v>
      </c>
      <c r="E152" s="9" t="s">
        <v>134</v>
      </c>
      <c r="F152" s="9" t="s">
        <v>1</v>
      </c>
      <c r="G152" s="9" t="s">
        <v>15</v>
      </c>
      <c r="H152" s="9" t="s">
        <v>26</v>
      </c>
      <c r="I152" s="9">
        <v>1</v>
      </c>
      <c r="J152" s="9">
        <v>448</v>
      </c>
      <c r="K152" s="10">
        <v>448</v>
      </c>
      <c r="L152" s="9">
        <f>HOUR([1]restaurant_sales_1200!$B152)</f>
        <v>12</v>
      </c>
      <c r="M152" s="9" t="str">
        <f t="shared" si="0"/>
        <v>Tuesday</v>
      </c>
    </row>
    <row r="153" spans="1:13" x14ac:dyDescent="0.25">
      <c r="A153" s="6">
        <v>1152</v>
      </c>
      <c r="B153" s="7">
        <v>44972.841534606479</v>
      </c>
      <c r="C153" s="7">
        <v>44972.841534606479</v>
      </c>
      <c r="D153" s="8">
        <v>44972.841534606479</v>
      </c>
      <c r="E153" s="9" t="s">
        <v>135</v>
      </c>
      <c r="F153" s="9" t="s">
        <v>8</v>
      </c>
      <c r="G153" s="9" t="s">
        <v>30</v>
      </c>
      <c r="H153" s="9" t="s">
        <v>3</v>
      </c>
      <c r="I153" s="9">
        <v>1</v>
      </c>
      <c r="J153" s="9">
        <v>496</v>
      </c>
      <c r="K153" s="10">
        <v>496</v>
      </c>
      <c r="L153" s="9">
        <f>HOUR([1]restaurant_sales_1200!$B153)</f>
        <v>20</v>
      </c>
      <c r="M153" s="9" t="str">
        <f t="shared" si="0"/>
        <v>Wednesday</v>
      </c>
    </row>
    <row r="154" spans="1:13" x14ac:dyDescent="0.25">
      <c r="A154" s="6">
        <v>1153</v>
      </c>
      <c r="B154" s="7">
        <v>44973.145120937501</v>
      </c>
      <c r="C154" s="7">
        <v>44973.145120937501</v>
      </c>
      <c r="D154" s="8">
        <v>44973.145120937501</v>
      </c>
      <c r="E154" s="9" t="s">
        <v>136</v>
      </c>
      <c r="F154" s="9" t="s">
        <v>1</v>
      </c>
      <c r="G154" s="9" t="s">
        <v>2</v>
      </c>
      <c r="H154" s="9" t="s">
        <v>47</v>
      </c>
      <c r="I154" s="9">
        <v>1</v>
      </c>
      <c r="J154" s="9">
        <v>821</v>
      </c>
      <c r="K154" s="10">
        <v>821</v>
      </c>
      <c r="L154" s="9">
        <f>HOUR([1]restaurant_sales_1200!$B154)</f>
        <v>3</v>
      </c>
      <c r="M154" s="9" t="str">
        <f t="shared" si="0"/>
        <v>Thursday</v>
      </c>
    </row>
    <row r="155" spans="1:13" x14ac:dyDescent="0.25">
      <c r="A155" s="6">
        <v>1154</v>
      </c>
      <c r="B155" s="7">
        <v>44973.448707256946</v>
      </c>
      <c r="C155" s="7">
        <v>44973.448707256946</v>
      </c>
      <c r="D155" s="8">
        <v>44973.448707256946</v>
      </c>
      <c r="E155" s="9" t="s">
        <v>137</v>
      </c>
      <c r="F155" s="9" t="s">
        <v>8</v>
      </c>
      <c r="G155" s="9" t="s">
        <v>2</v>
      </c>
      <c r="H155" s="9" t="s">
        <v>31</v>
      </c>
      <c r="I155" s="9">
        <v>1</v>
      </c>
      <c r="J155" s="9">
        <v>260</v>
      </c>
      <c r="K155" s="10">
        <v>260</v>
      </c>
      <c r="L155" s="9">
        <f>HOUR([1]restaurant_sales_1200!$B155)</f>
        <v>10</v>
      </c>
      <c r="M155" s="9" t="str">
        <f t="shared" si="0"/>
        <v>Friday</v>
      </c>
    </row>
    <row r="156" spans="1:13" x14ac:dyDescent="0.25">
      <c r="A156" s="6">
        <v>1155</v>
      </c>
      <c r="B156" s="7">
        <v>44973.752293576392</v>
      </c>
      <c r="C156" s="7">
        <v>44973.752293576392</v>
      </c>
      <c r="D156" s="8">
        <v>44973.752293576392</v>
      </c>
      <c r="E156" s="9" t="s">
        <v>90</v>
      </c>
      <c r="F156" s="9" t="s">
        <v>1</v>
      </c>
      <c r="G156" s="9" t="s">
        <v>6</v>
      </c>
      <c r="H156" s="9" t="s">
        <v>33</v>
      </c>
      <c r="I156" s="9">
        <v>3</v>
      </c>
      <c r="J156" s="9">
        <v>115</v>
      </c>
      <c r="K156" s="10">
        <v>345</v>
      </c>
      <c r="L156" s="9">
        <f>HOUR([1]restaurant_sales_1200!$B156)</f>
        <v>18</v>
      </c>
      <c r="M156" s="9" t="str">
        <f t="shared" si="0"/>
        <v>Saturday</v>
      </c>
    </row>
    <row r="157" spans="1:13" x14ac:dyDescent="0.25">
      <c r="A157" s="6">
        <v>1156</v>
      </c>
      <c r="B157" s="7">
        <v>44974.05587989583</v>
      </c>
      <c r="C157" s="7">
        <v>44974.05587989583</v>
      </c>
      <c r="D157" s="8">
        <v>44974.05587989583</v>
      </c>
      <c r="E157" s="9" t="s">
        <v>58</v>
      </c>
      <c r="F157" s="9" t="s">
        <v>8</v>
      </c>
      <c r="G157" s="9" t="s">
        <v>2</v>
      </c>
      <c r="H157" s="9" t="s">
        <v>3</v>
      </c>
      <c r="I157" s="9">
        <v>1</v>
      </c>
      <c r="J157" s="9">
        <v>592</v>
      </c>
      <c r="K157" s="10">
        <v>592</v>
      </c>
      <c r="L157" s="9">
        <f>HOUR([1]restaurant_sales_1200!$B157)</f>
        <v>1</v>
      </c>
      <c r="M157" s="9" t="str">
        <f t="shared" si="0"/>
        <v>Sunday</v>
      </c>
    </row>
    <row r="158" spans="1:13" x14ac:dyDescent="0.25">
      <c r="A158" s="6">
        <v>1157</v>
      </c>
      <c r="B158" s="7">
        <v>44974.359466226852</v>
      </c>
      <c r="C158" s="7">
        <v>44974.359466226852</v>
      </c>
      <c r="D158" s="8">
        <v>44974.359466226852</v>
      </c>
      <c r="E158" s="9" t="s">
        <v>138</v>
      </c>
      <c r="F158" s="9" t="s">
        <v>1</v>
      </c>
      <c r="G158" s="9" t="s">
        <v>6</v>
      </c>
      <c r="H158" s="9" t="s">
        <v>3</v>
      </c>
      <c r="I158" s="9">
        <v>4</v>
      </c>
      <c r="J158" s="9">
        <v>525</v>
      </c>
      <c r="K158" s="10">
        <v>2100</v>
      </c>
      <c r="L158" s="9">
        <f>HOUR([1]restaurant_sales_1200!$B158)</f>
        <v>8</v>
      </c>
      <c r="M158" s="9" t="str">
        <f t="shared" si="0"/>
        <v>Monday</v>
      </c>
    </row>
    <row r="159" spans="1:13" x14ac:dyDescent="0.25">
      <c r="A159" s="6">
        <v>1158</v>
      </c>
      <c r="B159" s="7">
        <v>44974.663052546297</v>
      </c>
      <c r="C159" s="7">
        <v>44974.663052546297</v>
      </c>
      <c r="D159" s="8">
        <v>44974.663052546297</v>
      </c>
      <c r="E159" s="9" t="s">
        <v>139</v>
      </c>
      <c r="F159" s="9" t="s">
        <v>19</v>
      </c>
      <c r="G159" s="9" t="s">
        <v>6</v>
      </c>
      <c r="H159" s="9" t="s">
        <v>16</v>
      </c>
      <c r="I159" s="9">
        <v>5</v>
      </c>
      <c r="J159" s="9">
        <v>207</v>
      </c>
      <c r="K159" s="10">
        <v>1035</v>
      </c>
      <c r="L159" s="9">
        <f>HOUR([1]restaurant_sales_1200!$B159)</f>
        <v>15</v>
      </c>
      <c r="M159" s="9" t="str">
        <f t="shared" si="0"/>
        <v>Tuesday</v>
      </c>
    </row>
    <row r="160" spans="1:13" x14ac:dyDescent="0.25">
      <c r="A160" s="6">
        <v>1159</v>
      </c>
      <c r="B160" s="7">
        <v>44974.966638865742</v>
      </c>
      <c r="C160" s="7">
        <v>44974.966638865742</v>
      </c>
      <c r="D160" s="8">
        <v>44974.966638865742</v>
      </c>
      <c r="E160" s="9" t="s">
        <v>64</v>
      </c>
      <c r="F160" s="9" t="s">
        <v>8</v>
      </c>
      <c r="G160" s="9" t="s">
        <v>2</v>
      </c>
      <c r="H160" s="9" t="s">
        <v>24</v>
      </c>
      <c r="I160" s="9">
        <v>1</v>
      </c>
      <c r="J160" s="9">
        <v>993</v>
      </c>
      <c r="K160" s="10">
        <v>993</v>
      </c>
      <c r="L160" s="9">
        <f>HOUR([1]restaurant_sales_1200!$B160)</f>
        <v>23</v>
      </c>
      <c r="M160" s="9" t="str">
        <f t="shared" si="0"/>
        <v>Wednesday</v>
      </c>
    </row>
    <row r="161" spans="1:13" x14ac:dyDescent="0.25">
      <c r="A161" s="6">
        <v>1160</v>
      </c>
      <c r="B161" s="7">
        <v>44975.270225185188</v>
      </c>
      <c r="C161" s="7">
        <v>44975.270225185188</v>
      </c>
      <c r="D161" s="8">
        <v>44975.270225185188</v>
      </c>
      <c r="E161" s="9" t="s">
        <v>140</v>
      </c>
      <c r="F161" s="9" t="s">
        <v>8</v>
      </c>
      <c r="G161" s="9" t="s">
        <v>2</v>
      </c>
      <c r="H161" s="9" t="s">
        <v>26</v>
      </c>
      <c r="I161" s="9">
        <v>3</v>
      </c>
      <c r="J161" s="9">
        <v>549</v>
      </c>
      <c r="K161" s="10">
        <v>1647</v>
      </c>
      <c r="L161" s="9">
        <f>HOUR([1]restaurant_sales_1200!$B161)</f>
        <v>6</v>
      </c>
      <c r="M161" s="9" t="str">
        <f t="shared" si="0"/>
        <v>Thursday</v>
      </c>
    </row>
    <row r="162" spans="1:13" x14ac:dyDescent="0.25">
      <c r="A162" s="6">
        <v>1161</v>
      </c>
      <c r="B162" s="7">
        <v>44975.573811504626</v>
      </c>
      <c r="C162" s="7">
        <v>44975.573811504626</v>
      </c>
      <c r="D162" s="8">
        <v>44975.573811504626</v>
      </c>
      <c r="E162" s="9" t="s">
        <v>141</v>
      </c>
      <c r="F162" s="9" t="s">
        <v>8</v>
      </c>
      <c r="G162" s="9" t="s">
        <v>9</v>
      </c>
      <c r="H162" s="9" t="s">
        <v>24</v>
      </c>
      <c r="I162" s="9">
        <v>3</v>
      </c>
      <c r="J162" s="9">
        <v>410</v>
      </c>
      <c r="K162" s="10">
        <v>1230</v>
      </c>
      <c r="L162" s="9">
        <f>HOUR([1]restaurant_sales_1200!$B162)</f>
        <v>13</v>
      </c>
      <c r="M162" s="9" t="str">
        <f t="shared" si="0"/>
        <v>Friday</v>
      </c>
    </row>
    <row r="163" spans="1:13" x14ac:dyDescent="0.25">
      <c r="A163" s="6">
        <v>1162</v>
      </c>
      <c r="B163" s="7">
        <v>44975.877397835648</v>
      </c>
      <c r="C163" s="7">
        <v>44975.877397835648</v>
      </c>
      <c r="D163" s="8">
        <v>44975.877397835648</v>
      </c>
      <c r="E163" s="9" t="s">
        <v>142</v>
      </c>
      <c r="F163" s="9" t="s">
        <v>19</v>
      </c>
      <c r="G163" s="9" t="s">
        <v>30</v>
      </c>
      <c r="H163" s="9" t="s">
        <v>13</v>
      </c>
      <c r="I163" s="9">
        <v>1</v>
      </c>
      <c r="J163" s="9">
        <v>838</v>
      </c>
      <c r="K163" s="10">
        <v>838</v>
      </c>
      <c r="L163" s="9">
        <f>HOUR([1]restaurant_sales_1200!$B163)</f>
        <v>21</v>
      </c>
      <c r="M163" s="9" t="str">
        <f t="shared" si="0"/>
        <v>Saturday</v>
      </c>
    </row>
    <row r="164" spans="1:13" x14ac:dyDescent="0.25">
      <c r="A164" s="6">
        <v>1163</v>
      </c>
      <c r="B164" s="7">
        <v>44976.180984155093</v>
      </c>
      <c r="C164" s="7">
        <v>44976.180984155093</v>
      </c>
      <c r="D164" s="8">
        <v>44976.180984155093</v>
      </c>
      <c r="E164" s="9" t="s">
        <v>143</v>
      </c>
      <c r="F164" s="9" t="s">
        <v>1</v>
      </c>
      <c r="G164" s="9" t="s">
        <v>6</v>
      </c>
      <c r="H164" s="9" t="s">
        <v>10</v>
      </c>
      <c r="I164" s="9">
        <v>5</v>
      </c>
      <c r="J164" s="9">
        <v>269</v>
      </c>
      <c r="K164" s="10">
        <v>1345</v>
      </c>
      <c r="L164" s="9">
        <f>HOUR([1]restaurant_sales_1200!$B164)</f>
        <v>4</v>
      </c>
      <c r="M164" s="9" t="str">
        <f t="shared" si="0"/>
        <v>Sunday</v>
      </c>
    </row>
    <row r="165" spans="1:13" x14ac:dyDescent="0.25">
      <c r="A165" s="6">
        <v>1164</v>
      </c>
      <c r="B165" s="7">
        <v>44976.484570474538</v>
      </c>
      <c r="C165" s="7">
        <v>44976.484570474538</v>
      </c>
      <c r="D165" s="8">
        <v>44976.484570474538</v>
      </c>
      <c r="E165" s="9" t="s">
        <v>144</v>
      </c>
      <c r="F165" s="9" t="s">
        <v>8</v>
      </c>
      <c r="G165" s="9" t="s">
        <v>2</v>
      </c>
      <c r="H165" s="9" t="s">
        <v>47</v>
      </c>
      <c r="I165" s="9">
        <v>1</v>
      </c>
      <c r="J165" s="9">
        <v>645</v>
      </c>
      <c r="K165" s="10">
        <v>645</v>
      </c>
      <c r="L165" s="9">
        <f>HOUR([1]restaurant_sales_1200!$B165)</f>
        <v>11</v>
      </c>
      <c r="M165" s="9" t="str">
        <f t="shared" si="0"/>
        <v>Monday</v>
      </c>
    </row>
    <row r="166" spans="1:13" x14ac:dyDescent="0.25">
      <c r="A166" s="6">
        <v>1165</v>
      </c>
      <c r="B166" s="7">
        <v>44976.788156793984</v>
      </c>
      <c r="C166" s="7">
        <v>44976.788156793984</v>
      </c>
      <c r="D166" s="8">
        <v>44976.788156793984</v>
      </c>
      <c r="E166" s="9" t="s">
        <v>145</v>
      </c>
      <c r="F166" s="9" t="s">
        <v>1</v>
      </c>
      <c r="G166" s="9" t="s">
        <v>30</v>
      </c>
      <c r="H166" s="9" t="s">
        <v>13</v>
      </c>
      <c r="I166" s="9">
        <v>3</v>
      </c>
      <c r="J166" s="9">
        <v>513</v>
      </c>
      <c r="K166" s="10">
        <v>1539</v>
      </c>
      <c r="L166" s="9">
        <f>HOUR([1]restaurant_sales_1200!$B166)</f>
        <v>18</v>
      </c>
      <c r="M166" s="9" t="str">
        <f t="shared" si="0"/>
        <v>Tuesday</v>
      </c>
    </row>
    <row r="167" spans="1:13" x14ac:dyDescent="0.25">
      <c r="A167" s="6">
        <v>1166</v>
      </c>
      <c r="B167" s="7">
        <v>44977.091743124998</v>
      </c>
      <c r="C167" s="7">
        <v>44977.091743124998</v>
      </c>
      <c r="D167" s="8">
        <v>44977.091743124998</v>
      </c>
      <c r="E167" s="9" t="s">
        <v>52</v>
      </c>
      <c r="F167" s="9" t="s">
        <v>19</v>
      </c>
      <c r="G167" s="9" t="s">
        <v>2</v>
      </c>
      <c r="H167" s="9" t="s">
        <v>16</v>
      </c>
      <c r="I167" s="9">
        <v>2</v>
      </c>
      <c r="J167" s="9">
        <v>350</v>
      </c>
      <c r="K167" s="10">
        <v>700</v>
      </c>
      <c r="L167" s="9">
        <f>HOUR([1]restaurant_sales_1200!$B167)</f>
        <v>2</v>
      </c>
      <c r="M167" s="9" t="str">
        <f t="shared" si="0"/>
        <v>Wednesday</v>
      </c>
    </row>
    <row r="168" spans="1:13" x14ac:dyDescent="0.25">
      <c r="A168" s="6">
        <v>1167</v>
      </c>
      <c r="B168" s="7">
        <v>44977.395329444444</v>
      </c>
      <c r="C168" s="7">
        <v>44977.395329444444</v>
      </c>
      <c r="D168" s="8">
        <v>44977.395329444444</v>
      </c>
      <c r="E168" s="9" t="s">
        <v>113</v>
      </c>
      <c r="F168" s="9" t="s">
        <v>5</v>
      </c>
      <c r="G168" s="9" t="s">
        <v>2</v>
      </c>
      <c r="H168" s="9" t="s">
        <v>13</v>
      </c>
      <c r="I168" s="9">
        <v>4</v>
      </c>
      <c r="J168" s="9">
        <v>858</v>
      </c>
      <c r="K168" s="10">
        <v>3432</v>
      </c>
      <c r="L168" s="9">
        <f>HOUR([1]restaurant_sales_1200!$B168)</f>
        <v>9</v>
      </c>
      <c r="M168" s="9" t="str">
        <f t="shared" si="0"/>
        <v>Thursday</v>
      </c>
    </row>
    <row r="169" spans="1:13" x14ac:dyDescent="0.25">
      <c r="A169" s="6">
        <v>1168</v>
      </c>
      <c r="B169" s="7">
        <v>44977.698915763889</v>
      </c>
      <c r="C169" s="7">
        <v>44977.698915763889</v>
      </c>
      <c r="D169" s="8">
        <v>44977.698915763889</v>
      </c>
      <c r="E169" s="9" t="s">
        <v>22</v>
      </c>
      <c r="F169" s="9" t="s">
        <v>8</v>
      </c>
      <c r="G169" s="9" t="s">
        <v>9</v>
      </c>
      <c r="H169" s="9" t="s">
        <v>20</v>
      </c>
      <c r="I169" s="9">
        <v>3</v>
      </c>
      <c r="J169" s="9">
        <v>880</v>
      </c>
      <c r="K169" s="10">
        <v>2640</v>
      </c>
      <c r="L169" s="9">
        <f>HOUR([1]restaurant_sales_1200!$B169)</f>
        <v>16</v>
      </c>
      <c r="M169" s="9" t="str">
        <f t="shared" si="0"/>
        <v>Friday</v>
      </c>
    </row>
    <row r="170" spans="1:13" x14ac:dyDescent="0.25">
      <c r="A170" s="6">
        <v>1169</v>
      </c>
      <c r="B170" s="7">
        <v>44978.002502083335</v>
      </c>
      <c r="C170" s="7">
        <v>44978.002502083335</v>
      </c>
      <c r="D170" s="8">
        <v>44978.002502083335</v>
      </c>
      <c r="E170" s="9" t="s">
        <v>89</v>
      </c>
      <c r="F170" s="9" t="s">
        <v>19</v>
      </c>
      <c r="G170" s="9" t="s">
        <v>6</v>
      </c>
      <c r="H170" s="9" t="s">
        <v>47</v>
      </c>
      <c r="I170" s="9">
        <v>1</v>
      </c>
      <c r="J170" s="9">
        <v>240</v>
      </c>
      <c r="K170" s="10">
        <v>240</v>
      </c>
      <c r="L170" s="9">
        <f>HOUR([1]restaurant_sales_1200!$B170)</f>
        <v>0</v>
      </c>
      <c r="M170" s="9" t="str">
        <f t="shared" si="0"/>
        <v>Saturday</v>
      </c>
    </row>
    <row r="171" spans="1:13" x14ac:dyDescent="0.25">
      <c r="A171" s="6">
        <v>1170</v>
      </c>
      <c r="B171" s="7">
        <v>44978.30608840278</v>
      </c>
      <c r="C171" s="7">
        <v>44978.30608840278</v>
      </c>
      <c r="D171" s="8">
        <v>44978.30608840278</v>
      </c>
      <c r="E171" s="9" t="s">
        <v>128</v>
      </c>
      <c r="F171" s="9" t="s">
        <v>1</v>
      </c>
      <c r="G171" s="9" t="s">
        <v>6</v>
      </c>
      <c r="H171" s="9" t="s">
        <v>10</v>
      </c>
      <c r="I171" s="9">
        <v>4</v>
      </c>
      <c r="J171" s="9">
        <v>373</v>
      </c>
      <c r="K171" s="10">
        <v>1492</v>
      </c>
      <c r="L171" s="9">
        <f>HOUR([1]restaurant_sales_1200!$B171)</f>
        <v>7</v>
      </c>
      <c r="M171" s="9" t="str">
        <f t="shared" si="0"/>
        <v>Sunday</v>
      </c>
    </row>
    <row r="172" spans="1:13" x14ac:dyDescent="0.25">
      <c r="A172" s="6">
        <v>1171</v>
      </c>
      <c r="B172" s="7">
        <v>44978.609674733794</v>
      </c>
      <c r="C172" s="7">
        <v>44978.609674733794</v>
      </c>
      <c r="D172" s="8">
        <v>44978.609674733794</v>
      </c>
      <c r="E172" s="9" t="s">
        <v>146</v>
      </c>
      <c r="F172" s="9" t="s">
        <v>8</v>
      </c>
      <c r="G172" s="9" t="s">
        <v>15</v>
      </c>
      <c r="H172" s="9" t="s">
        <v>33</v>
      </c>
      <c r="I172" s="9">
        <v>1</v>
      </c>
      <c r="J172" s="9">
        <v>515</v>
      </c>
      <c r="K172" s="10">
        <v>515</v>
      </c>
      <c r="L172" s="9">
        <f>HOUR([1]restaurant_sales_1200!$B172)</f>
        <v>14</v>
      </c>
      <c r="M172" s="9" t="str">
        <f t="shared" si="0"/>
        <v>Monday</v>
      </c>
    </row>
    <row r="173" spans="1:13" x14ac:dyDescent="0.25">
      <c r="A173" s="6">
        <v>1172</v>
      </c>
      <c r="B173" s="7">
        <v>44978.91326105324</v>
      </c>
      <c r="C173" s="7">
        <v>44978.91326105324</v>
      </c>
      <c r="D173" s="8">
        <v>44978.91326105324</v>
      </c>
      <c r="E173" s="9" t="s">
        <v>147</v>
      </c>
      <c r="F173" s="9" t="s">
        <v>1</v>
      </c>
      <c r="G173" s="9" t="s">
        <v>9</v>
      </c>
      <c r="H173" s="9" t="s">
        <v>20</v>
      </c>
      <c r="I173" s="9">
        <v>1</v>
      </c>
      <c r="J173" s="9">
        <v>707</v>
      </c>
      <c r="K173" s="10">
        <v>707</v>
      </c>
      <c r="L173" s="9">
        <f>HOUR([1]restaurant_sales_1200!$B173)</f>
        <v>21</v>
      </c>
      <c r="M173" s="9" t="str">
        <f t="shared" si="0"/>
        <v>Tuesday</v>
      </c>
    </row>
    <row r="174" spans="1:13" x14ac:dyDescent="0.25">
      <c r="A174" s="6">
        <v>1173</v>
      </c>
      <c r="B174" s="7">
        <v>44979.216847372685</v>
      </c>
      <c r="C174" s="7">
        <v>44979.216847372685</v>
      </c>
      <c r="D174" s="8">
        <v>44979.216847372685</v>
      </c>
      <c r="E174" s="9" t="s">
        <v>101</v>
      </c>
      <c r="F174" s="9" t="s">
        <v>5</v>
      </c>
      <c r="G174" s="9" t="s">
        <v>30</v>
      </c>
      <c r="H174" s="9" t="s">
        <v>20</v>
      </c>
      <c r="I174" s="9">
        <v>2</v>
      </c>
      <c r="J174" s="9">
        <v>838</v>
      </c>
      <c r="K174" s="10">
        <v>1676</v>
      </c>
      <c r="L174" s="9">
        <f>HOUR([1]restaurant_sales_1200!$B174)</f>
        <v>5</v>
      </c>
      <c r="M174" s="9" t="str">
        <f t="shared" si="0"/>
        <v>Wednesday</v>
      </c>
    </row>
    <row r="175" spans="1:13" x14ac:dyDescent="0.25">
      <c r="A175" s="6">
        <v>1174</v>
      </c>
      <c r="B175" s="7">
        <v>44979.520433692131</v>
      </c>
      <c r="C175" s="7">
        <v>44979.520433692131</v>
      </c>
      <c r="D175" s="8">
        <v>44979.520433692131</v>
      </c>
      <c r="E175" s="9" t="s">
        <v>126</v>
      </c>
      <c r="F175" s="9" t="s">
        <v>8</v>
      </c>
      <c r="G175" s="9" t="s">
        <v>9</v>
      </c>
      <c r="H175" s="9" t="s">
        <v>47</v>
      </c>
      <c r="I175" s="9">
        <v>4</v>
      </c>
      <c r="J175" s="9">
        <v>990</v>
      </c>
      <c r="K175" s="10">
        <v>3960</v>
      </c>
      <c r="L175" s="9">
        <f>HOUR([1]restaurant_sales_1200!$B175)</f>
        <v>12</v>
      </c>
      <c r="M175" s="9" t="str">
        <f t="shared" si="0"/>
        <v>Thursday</v>
      </c>
    </row>
    <row r="176" spans="1:13" x14ac:dyDescent="0.25">
      <c r="A176" s="6">
        <v>1175</v>
      </c>
      <c r="B176" s="7">
        <v>44979.824020011576</v>
      </c>
      <c r="C176" s="7">
        <v>44979.824020011576</v>
      </c>
      <c r="D176" s="8">
        <v>44979.824020011576</v>
      </c>
      <c r="E176" s="9" t="s">
        <v>148</v>
      </c>
      <c r="F176" s="9" t="s">
        <v>8</v>
      </c>
      <c r="G176" s="9" t="s">
        <v>30</v>
      </c>
      <c r="H176" s="9" t="s">
        <v>20</v>
      </c>
      <c r="I176" s="9">
        <v>4</v>
      </c>
      <c r="J176" s="9">
        <v>138</v>
      </c>
      <c r="K176" s="10">
        <v>552</v>
      </c>
      <c r="L176" s="9">
        <f>HOUR([1]restaurant_sales_1200!$B176)</f>
        <v>19</v>
      </c>
      <c r="M176" s="9" t="str">
        <f t="shared" si="0"/>
        <v>Friday</v>
      </c>
    </row>
    <row r="177" spans="1:13" x14ac:dyDescent="0.25">
      <c r="A177" s="6">
        <v>1176</v>
      </c>
      <c r="B177" s="7">
        <v>44980.12760634259</v>
      </c>
      <c r="C177" s="7">
        <v>44980.12760634259</v>
      </c>
      <c r="D177" s="8">
        <v>44980.12760634259</v>
      </c>
      <c r="E177" s="9" t="s">
        <v>149</v>
      </c>
      <c r="F177" s="9" t="s">
        <v>1</v>
      </c>
      <c r="G177" s="9" t="s">
        <v>6</v>
      </c>
      <c r="H177" s="9" t="s">
        <v>33</v>
      </c>
      <c r="I177" s="9">
        <v>2</v>
      </c>
      <c r="J177" s="9">
        <v>913</v>
      </c>
      <c r="K177" s="10">
        <v>1826</v>
      </c>
      <c r="L177" s="9">
        <f>HOUR([1]restaurant_sales_1200!$B177)</f>
        <v>3</v>
      </c>
      <c r="M177" s="9" t="str">
        <f t="shared" si="0"/>
        <v>Saturday</v>
      </c>
    </row>
    <row r="178" spans="1:13" x14ac:dyDescent="0.25">
      <c r="A178" s="6">
        <v>1177</v>
      </c>
      <c r="B178" s="7">
        <v>44980.431192662036</v>
      </c>
      <c r="C178" s="7">
        <v>44980.431192662036</v>
      </c>
      <c r="D178" s="8">
        <v>44980.431192662036</v>
      </c>
      <c r="E178" s="9" t="s">
        <v>150</v>
      </c>
      <c r="F178" s="9" t="s">
        <v>8</v>
      </c>
      <c r="G178" s="9" t="s">
        <v>15</v>
      </c>
      <c r="H178" s="9" t="s">
        <v>26</v>
      </c>
      <c r="I178" s="9">
        <v>3</v>
      </c>
      <c r="J178" s="9">
        <v>128</v>
      </c>
      <c r="K178" s="10">
        <v>384</v>
      </c>
      <c r="L178" s="9">
        <f>HOUR([1]restaurant_sales_1200!$B178)</f>
        <v>10</v>
      </c>
      <c r="M178" s="9" t="str">
        <f t="shared" si="0"/>
        <v>Sunday</v>
      </c>
    </row>
    <row r="179" spans="1:13" x14ac:dyDescent="0.25">
      <c r="A179" s="6">
        <v>1178</v>
      </c>
      <c r="B179" s="7">
        <v>44980.734778981481</v>
      </c>
      <c r="C179" s="7">
        <v>44980.734778981481</v>
      </c>
      <c r="D179" s="8">
        <v>44980.734778981481</v>
      </c>
      <c r="E179" s="9" t="s">
        <v>151</v>
      </c>
      <c r="F179" s="9" t="s">
        <v>19</v>
      </c>
      <c r="G179" s="9" t="s">
        <v>15</v>
      </c>
      <c r="H179" s="9" t="s">
        <v>24</v>
      </c>
      <c r="I179" s="9">
        <v>1</v>
      </c>
      <c r="J179" s="9">
        <v>576</v>
      </c>
      <c r="K179" s="10">
        <v>576</v>
      </c>
      <c r="L179" s="9">
        <f>HOUR([1]restaurant_sales_1200!$B179)</f>
        <v>17</v>
      </c>
      <c r="M179" s="9" t="str">
        <f t="shared" si="0"/>
        <v>Monday</v>
      </c>
    </row>
    <row r="180" spans="1:13" x14ac:dyDescent="0.25">
      <c r="A180" s="6">
        <v>1179</v>
      </c>
      <c r="B180" s="7">
        <v>44981.038365300927</v>
      </c>
      <c r="C180" s="7">
        <v>44981.038365300927</v>
      </c>
      <c r="D180" s="8">
        <v>44981.038365300927</v>
      </c>
      <c r="E180" s="9" t="s">
        <v>95</v>
      </c>
      <c r="F180" s="9" t="s">
        <v>19</v>
      </c>
      <c r="G180" s="9" t="s">
        <v>6</v>
      </c>
      <c r="H180" s="9" t="s">
        <v>47</v>
      </c>
      <c r="I180" s="9">
        <v>5</v>
      </c>
      <c r="J180" s="9">
        <v>417</v>
      </c>
      <c r="K180" s="10">
        <v>2085</v>
      </c>
      <c r="L180" s="9">
        <f>HOUR([1]restaurant_sales_1200!$B180)</f>
        <v>0</v>
      </c>
      <c r="M180" s="9" t="str">
        <f t="shared" si="0"/>
        <v>Tuesday</v>
      </c>
    </row>
    <row r="181" spans="1:13" x14ac:dyDescent="0.25">
      <c r="A181" s="6">
        <v>1180</v>
      </c>
      <c r="B181" s="7">
        <v>44981.341951631941</v>
      </c>
      <c r="C181" s="7">
        <v>44981.341951631941</v>
      </c>
      <c r="D181" s="8">
        <v>44981.341951631941</v>
      </c>
      <c r="E181" s="9" t="s">
        <v>152</v>
      </c>
      <c r="F181" s="9" t="s">
        <v>5</v>
      </c>
      <c r="G181" s="9" t="s">
        <v>2</v>
      </c>
      <c r="H181" s="9" t="s">
        <v>31</v>
      </c>
      <c r="I181" s="9">
        <v>1</v>
      </c>
      <c r="J181" s="9">
        <v>344</v>
      </c>
      <c r="K181" s="10">
        <v>344</v>
      </c>
      <c r="L181" s="9">
        <f>HOUR([1]restaurant_sales_1200!$B181)</f>
        <v>8</v>
      </c>
      <c r="M181" s="9" t="str">
        <f t="shared" si="0"/>
        <v>Wednesday</v>
      </c>
    </row>
    <row r="182" spans="1:13" x14ac:dyDescent="0.25">
      <c r="A182" s="6">
        <v>1181</v>
      </c>
      <c r="B182" s="7">
        <v>44981.645537951386</v>
      </c>
      <c r="C182" s="7">
        <v>44981.645537951386</v>
      </c>
      <c r="D182" s="8">
        <v>44981.645537951386</v>
      </c>
      <c r="E182" s="9" t="s">
        <v>109</v>
      </c>
      <c r="F182" s="9" t="s">
        <v>19</v>
      </c>
      <c r="G182" s="9" t="s">
        <v>9</v>
      </c>
      <c r="H182" s="9" t="s">
        <v>13</v>
      </c>
      <c r="I182" s="9">
        <v>1</v>
      </c>
      <c r="J182" s="9">
        <v>847</v>
      </c>
      <c r="K182" s="10">
        <v>847</v>
      </c>
      <c r="L182" s="9">
        <f>HOUR([1]restaurant_sales_1200!$B182)</f>
        <v>15</v>
      </c>
      <c r="M182" s="9" t="str">
        <f t="shared" si="0"/>
        <v>Thursday</v>
      </c>
    </row>
    <row r="183" spans="1:13" x14ac:dyDescent="0.25">
      <c r="A183" s="6">
        <v>1182</v>
      </c>
      <c r="B183" s="7">
        <v>44981.949124270832</v>
      </c>
      <c r="C183" s="7">
        <v>44981.949124270832</v>
      </c>
      <c r="D183" s="8">
        <v>44981.949124270832</v>
      </c>
      <c r="E183" s="9" t="s">
        <v>153</v>
      </c>
      <c r="F183" s="9" t="s">
        <v>5</v>
      </c>
      <c r="G183" s="9" t="s">
        <v>15</v>
      </c>
      <c r="H183" s="9" t="s">
        <v>33</v>
      </c>
      <c r="I183" s="9">
        <v>3</v>
      </c>
      <c r="J183" s="9">
        <v>796</v>
      </c>
      <c r="K183" s="10">
        <v>2388</v>
      </c>
      <c r="L183" s="9">
        <f>HOUR([1]restaurant_sales_1200!$B183)</f>
        <v>22</v>
      </c>
      <c r="M183" s="9" t="str">
        <f t="shared" si="0"/>
        <v>Friday</v>
      </c>
    </row>
    <row r="184" spans="1:13" x14ac:dyDescent="0.25">
      <c r="A184" s="6">
        <v>1183</v>
      </c>
      <c r="B184" s="7">
        <v>44982.252710590277</v>
      </c>
      <c r="C184" s="7">
        <v>44982.252710590277</v>
      </c>
      <c r="D184" s="8">
        <v>44982.252710590277</v>
      </c>
      <c r="E184" s="9" t="s">
        <v>154</v>
      </c>
      <c r="F184" s="9" t="s">
        <v>1</v>
      </c>
      <c r="G184" s="9" t="s">
        <v>2</v>
      </c>
      <c r="H184" s="9" t="s">
        <v>10</v>
      </c>
      <c r="I184" s="9">
        <v>1</v>
      </c>
      <c r="J184" s="9">
        <v>371</v>
      </c>
      <c r="K184" s="10">
        <v>371</v>
      </c>
      <c r="L184" s="9">
        <f>HOUR([1]restaurant_sales_1200!$B184)</f>
        <v>6</v>
      </c>
      <c r="M184" s="9" t="str">
        <f t="shared" si="0"/>
        <v>Saturday</v>
      </c>
    </row>
    <row r="185" spans="1:13" x14ac:dyDescent="0.25">
      <c r="A185" s="6">
        <v>1184</v>
      </c>
      <c r="B185" s="7">
        <v>44982.556296909723</v>
      </c>
      <c r="C185" s="7">
        <v>44982.556296909723</v>
      </c>
      <c r="D185" s="8">
        <v>44982.556296909723</v>
      </c>
      <c r="E185" s="9" t="s">
        <v>115</v>
      </c>
      <c r="F185" s="9" t="s">
        <v>1</v>
      </c>
      <c r="G185" s="9" t="s">
        <v>30</v>
      </c>
      <c r="H185" s="9" t="s">
        <v>3</v>
      </c>
      <c r="I185" s="9">
        <v>2</v>
      </c>
      <c r="J185" s="9">
        <v>539</v>
      </c>
      <c r="K185" s="10">
        <v>1078</v>
      </c>
      <c r="L185" s="9">
        <f>HOUR([1]restaurant_sales_1200!$B185)</f>
        <v>13</v>
      </c>
      <c r="M185" s="9" t="str">
        <f t="shared" si="0"/>
        <v>Sunday</v>
      </c>
    </row>
    <row r="186" spans="1:13" x14ac:dyDescent="0.25">
      <c r="A186" s="6">
        <v>1185</v>
      </c>
      <c r="B186" s="7">
        <v>44982.859883240744</v>
      </c>
      <c r="C186" s="7">
        <v>44982.859883240744</v>
      </c>
      <c r="D186" s="8">
        <v>44982.859883240744</v>
      </c>
      <c r="E186" s="9" t="s">
        <v>84</v>
      </c>
      <c r="F186" s="9" t="s">
        <v>5</v>
      </c>
      <c r="G186" s="9" t="s">
        <v>15</v>
      </c>
      <c r="H186" s="9" t="s">
        <v>24</v>
      </c>
      <c r="I186" s="9">
        <v>2</v>
      </c>
      <c r="J186" s="9">
        <v>847</v>
      </c>
      <c r="K186" s="10">
        <v>1694</v>
      </c>
      <c r="L186" s="9">
        <f>HOUR([1]restaurant_sales_1200!$B186)</f>
        <v>20</v>
      </c>
      <c r="M186" s="9" t="str">
        <f t="shared" si="0"/>
        <v>Monday</v>
      </c>
    </row>
    <row r="187" spans="1:13" x14ac:dyDescent="0.25">
      <c r="A187" s="6">
        <v>1186</v>
      </c>
      <c r="B187" s="7">
        <v>44983.163469560182</v>
      </c>
      <c r="C187" s="7">
        <v>44983.163469560182</v>
      </c>
      <c r="D187" s="8">
        <v>44983.163469560182</v>
      </c>
      <c r="E187" s="9" t="s">
        <v>38</v>
      </c>
      <c r="F187" s="9" t="s">
        <v>19</v>
      </c>
      <c r="G187" s="9" t="s">
        <v>30</v>
      </c>
      <c r="H187" s="9" t="s">
        <v>26</v>
      </c>
      <c r="I187" s="9">
        <v>4</v>
      </c>
      <c r="J187" s="9">
        <v>338</v>
      </c>
      <c r="K187" s="10">
        <v>1352</v>
      </c>
      <c r="L187" s="9">
        <f>HOUR([1]restaurant_sales_1200!$B187)</f>
        <v>3</v>
      </c>
      <c r="M187" s="9" t="str">
        <f t="shared" si="0"/>
        <v>Tuesday</v>
      </c>
    </row>
    <row r="188" spans="1:13" x14ac:dyDescent="0.25">
      <c r="A188" s="6">
        <v>1187</v>
      </c>
      <c r="B188" s="7">
        <v>44983.467055879628</v>
      </c>
      <c r="C188" s="7">
        <v>44983.467055879628</v>
      </c>
      <c r="D188" s="8">
        <v>44983.467055879628</v>
      </c>
      <c r="E188" s="9" t="s">
        <v>41</v>
      </c>
      <c r="F188" s="9" t="s">
        <v>19</v>
      </c>
      <c r="G188" s="9" t="s">
        <v>2</v>
      </c>
      <c r="H188" s="9" t="s">
        <v>33</v>
      </c>
      <c r="I188" s="9">
        <v>5</v>
      </c>
      <c r="J188" s="9">
        <v>476</v>
      </c>
      <c r="K188" s="10">
        <v>2380</v>
      </c>
      <c r="L188" s="9">
        <f>HOUR([1]restaurant_sales_1200!$B188)</f>
        <v>11</v>
      </c>
      <c r="M188" s="9" t="str">
        <f t="shared" si="0"/>
        <v>Wednesday</v>
      </c>
    </row>
    <row r="189" spans="1:13" x14ac:dyDescent="0.25">
      <c r="A189" s="6">
        <v>1188</v>
      </c>
      <c r="B189" s="7">
        <v>44983.770642199073</v>
      </c>
      <c r="C189" s="7">
        <v>44983.770642199073</v>
      </c>
      <c r="D189" s="8">
        <v>44983.770642199073</v>
      </c>
      <c r="E189" s="9" t="s">
        <v>76</v>
      </c>
      <c r="F189" s="9" t="s">
        <v>5</v>
      </c>
      <c r="G189" s="9" t="s">
        <v>30</v>
      </c>
      <c r="H189" s="9" t="s">
        <v>26</v>
      </c>
      <c r="I189" s="9">
        <v>1</v>
      </c>
      <c r="J189" s="9">
        <v>365</v>
      </c>
      <c r="K189" s="10">
        <v>365</v>
      </c>
      <c r="L189" s="9">
        <f>HOUR([1]restaurant_sales_1200!$B189)</f>
        <v>18</v>
      </c>
      <c r="M189" s="9" t="str">
        <f t="shared" si="0"/>
        <v>Thursday</v>
      </c>
    </row>
    <row r="190" spans="1:13" x14ac:dyDescent="0.25">
      <c r="A190" s="6">
        <v>1189</v>
      </c>
      <c r="B190" s="7">
        <v>44984.074228518519</v>
      </c>
      <c r="C190" s="7">
        <v>44984.074228518519</v>
      </c>
      <c r="D190" s="8">
        <v>44984.074228518519</v>
      </c>
      <c r="E190" s="9" t="s">
        <v>155</v>
      </c>
      <c r="F190" s="9" t="s">
        <v>5</v>
      </c>
      <c r="G190" s="9" t="s">
        <v>2</v>
      </c>
      <c r="H190" s="9" t="s">
        <v>33</v>
      </c>
      <c r="I190" s="9">
        <v>1</v>
      </c>
      <c r="J190" s="9">
        <v>458</v>
      </c>
      <c r="K190" s="10">
        <v>458</v>
      </c>
      <c r="L190" s="9">
        <f>HOUR([1]restaurant_sales_1200!$B190)</f>
        <v>1</v>
      </c>
      <c r="M190" s="9" t="str">
        <f t="shared" si="0"/>
        <v>Friday</v>
      </c>
    </row>
    <row r="191" spans="1:13" x14ac:dyDescent="0.25">
      <c r="A191" s="6">
        <v>1190</v>
      </c>
      <c r="B191" s="7">
        <v>44984.37781484954</v>
      </c>
      <c r="C191" s="7">
        <v>44984.37781484954</v>
      </c>
      <c r="D191" s="8">
        <v>44984.37781484954</v>
      </c>
      <c r="E191" s="9" t="s">
        <v>84</v>
      </c>
      <c r="F191" s="9" t="s">
        <v>1</v>
      </c>
      <c r="G191" s="9" t="s">
        <v>30</v>
      </c>
      <c r="H191" s="9" t="s">
        <v>31</v>
      </c>
      <c r="I191" s="9">
        <v>3</v>
      </c>
      <c r="J191" s="9">
        <v>439</v>
      </c>
      <c r="K191" s="10">
        <v>1317</v>
      </c>
      <c r="L191" s="9">
        <f>HOUR([1]restaurant_sales_1200!$B191)</f>
        <v>9</v>
      </c>
      <c r="M191" s="9" t="str">
        <f t="shared" si="0"/>
        <v>Saturday</v>
      </c>
    </row>
    <row r="192" spans="1:13" x14ac:dyDescent="0.25">
      <c r="A192" s="6">
        <v>1191</v>
      </c>
      <c r="B192" s="7">
        <v>44984.681401168978</v>
      </c>
      <c r="C192" s="7">
        <v>44984.681401168978</v>
      </c>
      <c r="D192" s="8">
        <v>44984.681401168978</v>
      </c>
      <c r="E192" s="9" t="s">
        <v>156</v>
      </c>
      <c r="F192" s="9" t="s">
        <v>5</v>
      </c>
      <c r="G192" s="9" t="s">
        <v>9</v>
      </c>
      <c r="H192" s="9" t="s">
        <v>33</v>
      </c>
      <c r="I192" s="9">
        <v>2</v>
      </c>
      <c r="J192" s="9">
        <v>488</v>
      </c>
      <c r="K192" s="10">
        <v>976</v>
      </c>
      <c r="L192" s="9">
        <f>HOUR([1]restaurant_sales_1200!$B192)</f>
        <v>16</v>
      </c>
      <c r="M192" s="9" t="str">
        <f t="shared" si="0"/>
        <v>Sunday</v>
      </c>
    </row>
    <row r="193" spans="1:13" x14ac:dyDescent="0.25">
      <c r="A193" s="6">
        <v>1192</v>
      </c>
      <c r="B193" s="7">
        <v>44984.984987488424</v>
      </c>
      <c r="C193" s="7">
        <v>44984.984987488424</v>
      </c>
      <c r="D193" s="8">
        <v>44984.984987488424</v>
      </c>
      <c r="E193" s="9" t="s">
        <v>23</v>
      </c>
      <c r="F193" s="9" t="s">
        <v>19</v>
      </c>
      <c r="G193" s="9" t="s">
        <v>15</v>
      </c>
      <c r="H193" s="9" t="s">
        <v>33</v>
      </c>
      <c r="I193" s="9">
        <v>5</v>
      </c>
      <c r="J193" s="9">
        <v>676</v>
      </c>
      <c r="K193" s="10">
        <v>3380</v>
      </c>
      <c r="L193" s="9">
        <f>HOUR([1]restaurant_sales_1200!$B193)</f>
        <v>23</v>
      </c>
      <c r="M193" s="9" t="str">
        <f t="shared" si="0"/>
        <v>Monday</v>
      </c>
    </row>
    <row r="194" spans="1:13" x14ac:dyDescent="0.25">
      <c r="A194" s="6">
        <v>1193</v>
      </c>
      <c r="B194" s="7">
        <v>44985.288573807869</v>
      </c>
      <c r="C194" s="7">
        <v>44985.288573807869</v>
      </c>
      <c r="D194" s="8">
        <v>44985.288573807869</v>
      </c>
      <c r="E194" s="9" t="s">
        <v>157</v>
      </c>
      <c r="F194" s="9" t="s">
        <v>5</v>
      </c>
      <c r="G194" s="9" t="s">
        <v>15</v>
      </c>
      <c r="H194" s="9" t="s">
        <v>31</v>
      </c>
      <c r="I194" s="9">
        <v>4</v>
      </c>
      <c r="J194" s="9">
        <v>788</v>
      </c>
      <c r="K194" s="10">
        <v>3152</v>
      </c>
      <c r="L194" s="9">
        <f>HOUR([1]restaurant_sales_1200!$B194)</f>
        <v>6</v>
      </c>
      <c r="M194" s="9" t="str">
        <f t="shared" si="0"/>
        <v>Tuesday</v>
      </c>
    </row>
    <row r="195" spans="1:13" x14ac:dyDescent="0.25">
      <c r="A195" s="6">
        <v>1194</v>
      </c>
      <c r="B195" s="7">
        <v>44985.592160138891</v>
      </c>
      <c r="C195" s="7">
        <v>44985.592160138891</v>
      </c>
      <c r="D195" s="8">
        <v>44985.592160138891</v>
      </c>
      <c r="E195" s="9" t="s">
        <v>76</v>
      </c>
      <c r="F195" s="9" t="s">
        <v>5</v>
      </c>
      <c r="G195" s="9" t="s">
        <v>2</v>
      </c>
      <c r="H195" s="9" t="s">
        <v>10</v>
      </c>
      <c r="I195" s="9">
        <v>2</v>
      </c>
      <c r="J195" s="9">
        <v>102</v>
      </c>
      <c r="K195" s="10">
        <v>204</v>
      </c>
      <c r="L195" s="9">
        <f>HOUR([1]restaurant_sales_1200!$B195)</f>
        <v>14</v>
      </c>
      <c r="M195" s="9" t="str">
        <f t="shared" si="0"/>
        <v>Wednesday</v>
      </c>
    </row>
    <row r="196" spans="1:13" x14ac:dyDescent="0.25">
      <c r="A196" s="6">
        <v>1195</v>
      </c>
      <c r="B196" s="7">
        <v>44985.895746458336</v>
      </c>
      <c r="C196" s="7">
        <v>44985.895746458336</v>
      </c>
      <c r="D196" s="8">
        <v>44985.895746458336</v>
      </c>
      <c r="E196" s="9" t="s">
        <v>158</v>
      </c>
      <c r="F196" s="9" t="s">
        <v>5</v>
      </c>
      <c r="G196" s="9" t="s">
        <v>30</v>
      </c>
      <c r="H196" s="9" t="s">
        <v>16</v>
      </c>
      <c r="I196" s="9">
        <v>4</v>
      </c>
      <c r="J196" s="9">
        <v>528</v>
      </c>
      <c r="K196" s="10">
        <v>2112</v>
      </c>
      <c r="L196" s="9">
        <f>HOUR([1]restaurant_sales_1200!$B196)</f>
        <v>21</v>
      </c>
      <c r="M196" s="9" t="str">
        <f t="shared" si="0"/>
        <v>Thursday</v>
      </c>
    </row>
    <row r="197" spans="1:13" x14ac:dyDescent="0.25">
      <c r="A197" s="6">
        <v>1196</v>
      </c>
      <c r="B197" s="7">
        <v>44986.199332777775</v>
      </c>
      <c r="C197" s="7">
        <v>44986.199332777775</v>
      </c>
      <c r="D197" s="8">
        <v>44986.199332777775</v>
      </c>
      <c r="E197" s="9" t="s">
        <v>159</v>
      </c>
      <c r="F197" s="9" t="s">
        <v>1</v>
      </c>
      <c r="G197" s="9" t="s">
        <v>6</v>
      </c>
      <c r="H197" s="9" t="s">
        <v>10</v>
      </c>
      <c r="I197" s="9">
        <v>3</v>
      </c>
      <c r="J197" s="9">
        <v>241</v>
      </c>
      <c r="K197" s="10">
        <v>723</v>
      </c>
      <c r="L197" s="9">
        <f>HOUR([1]restaurant_sales_1200!$B197)</f>
        <v>4</v>
      </c>
      <c r="M197" s="9" t="str">
        <f t="shared" si="0"/>
        <v>Friday</v>
      </c>
    </row>
    <row r="198" spans="1:13" x14ac:dyDescent="0.25">
      <c r="A198" s="6">
        <v>1197</v>
      </c>
      <c r="B198" s="7">
        <v>44986.50291909722</v>
      </c>
      <c r="C198" s="7">
        <v>44986.50291909722</v>
      </c>
      <c r="D198" s="8">
        <v>44986.50291909722</v>
      </c>
      <c r="E198" s="9" t="s">
        <v>40</v>
      </c>
      <c r="F198" s="9" t="s">
        <v>5</v>
      </c>
      <c r="G198" s="9" t="s">
        <v>15</v>
      </c>
      <c r="H198" s="9" t="s">
        <v>31</v>
      </c>
      <c r="I198" s="9">
        <v>3</v>
      </c>
      <c r="J198" s="9">
        <v>475</v>
      </c>
      <c r="K198" s="10">
        <v>1425</v>
      </c>
      <c r="L198" s="9">
        <f>HOUR([1]restaurant_sales_1200!$B198)</f>
        <v>12</v>
      </c>
      <c r="M198" s="9" t="str">
        <f t="shared" si="0"/>
        <v>Saturday</v>
      </c>
    </row>
    <row r="199" spans="1:13" x14ac:dyDescent="0.25">
      <c r="A199" s="6">
        <v>1198</v>
      </c>
      <c r="B199" s="7">
        <v>44986.806505416665</v>
      </c>
      <c r="C199" s="7">
        <v>44986.806505416665</v>
      </c>
      <c r="D199" s="8">
        <v>44986.806505416665</v>
      </c>
      <c r="E199" s="9" t="s">
        <v>139</v>
      </c>
      <c r="F199" s="9" t="s">
        <v>8</v>
      </c>
      <c r="G199" s="9" t="s">
        <v>30</v>
      </c>
      <c r="H199" s="9" t="s">
        <v>24</v>
      </c>
      <c r="I199" s="9">
        <v>1</v>
      </c>
      <c r="J199" s="9">
        <v>769</v>
      </c>
      <c r="K199" s="10">
        <v>769</v>
      </c>
      <c r="L199" s="9">
        <f>HOUR([1]restaurant_sales_1200!$B199)</f>
        <v>19</v>
      </c>
      <c r="M199" s="9" t="str">
        <f t="shared" si="0"/>
        <v>Sunday</v>
      </c>
    </row>
    <row r="200" spans="1:13" x14ac:dyDescent="0.25">
      <c r="A200" s="6">
        <v>1199</v>
      </c>
      <c r="B200" s="7">
        <v>44987.110091747687</v>
      </c>
      <c r="C200" s="7">
        <v>44987.110091747687</v>
      </c>
      <c r="D200" s="8">
        <v>44987.110091747687</v>
      </c>
      <c r="E200" s="9" t="s">
        <v>160</v>
      </c>
      <c r="F200" s="9" t="s">
        <v>8</v>
      </c>
      <c r="G200" s="9" t="s">
        <v>30</v>
      </c>
      <c r="H200" s="9" t="s">
        <v>3</v>
      </c>
      <c r="I200" s="9">
        <v>5</v>
      </c>
      <c r="J200" s="9">
        <v>423</v>
      </c>
      <c r="K200" s="10">
        <v>2115</v>
      </c>
      <c r="L200" s="9">
        <f>HOUR([1]restaurant_sales_1200!$B200)</f>
        <v>2</v>
      </c>
      <c r="M200" s="9" t="str">
        <f t="shared" si="0"/>
        <v>Monday</v>
      </c>
    </row>
    <row r="201" spans="1:13" x14ac:dyDescent="0.25">
      <c r="A201" s="6">
        <v>1200</v>
      </c>
      <c r="B201" s="7">
        <v>44987.413678067132</v>
      </c>
      <c r="C201" s="7">
        <v>44987.413678067132</v>
      </c>
      <c r="D201" s="8">
        <v>44987.413678067132</v>
      </c>
      <c r="E201" s="9" t="s">
        <v>128</v>
      </c>
      <c r="F201" s="9" t="s">
        <v>8</v>
      </c>
      <c r="G201" s="9" t="s">
        <v>9</v>
      </c>
      <c r="H201" s="9" t="s">
        <v>16</v>
      </c>
      <c r="I201" s="9">
        <v>4</v>
      </c>
      <c r="J201" s="9">
        <v>245</v>
      </c>
      <c r="K201" s="10">
        <v>980</v>
      </c>
      <c r="L201" s="9">
        <f>HOUR([1]restaurant_sales_1200!$B201)</f>
        <v>9</v>
      </c>
      <c r="M201" s="9" t="str">
        <f t="shared" si="0"/>
        <v>Tuesday</v>
      </c>
    </row>
    <row r="202" spans="1:13" x14ac:dyDescent="0.25">
      <c r="A202" s="6">
        <v>1201</v>
      </c>
      <c r="B202" s="7">
        <v>44987.717264386571</v>
      </c>
      <c r="C202" s="7">
        <v>44987.717264386571</v>
      </c>
      <c r="D202" s="8">
        <v>44987.717264386571</v>
      </c>
      <c r="E202" s="9" t="s">
        <v>161</v>
      </c>
      <c r="F202" s="9" t="s">
        <v>19</v>
      </c>
      <c r="G202" s="9" t="s">
        <v>6</v>
      </c>
      <c r="H202" s="9" t="s">
        <v>47</v>
      </c>
      <c r="I202" s="9">
        <v>2</v>
      </c>
      <c r="J202" s="9">
        <v>392</v>
      </c>
      <c r="K202" s="10">
        <v>784</v>
      </c>
      <c r="L202" s="9">
        <f>HOUR([1]restaurant_sales_1200!$B202)</f>
        <v>17</v>
      </c>
      <c r="M202" s="9" t="str">
        <f t="shared" si="0"/>
        <v>Wednesday</v>
      </c>
    </row>
    <row r="203" spans="1:13" x14ac:dyDescent="0.25">
      <c r="A203" s="6">
        <v>1202</v>
      </c>
      <c r="B203" s="7">
        <v>44988.020850706016</v>
      </c>
      <c r="C203" s="7">
        <v>44988.020850706016</v>
      </c>
      <c r="D203" s="8">
        <v>44988.020850706016</v>
      </c>
      <c r="E203" s="9" t="s">
        <v>162</v>
      </c>
      <c r="F203" s="9" t="s">
        <v>19</v>
      </c>
      <c r="G203" s="9" t="s">
        <v>15</v>
      </c>
      <c r="H203" s="9" t="s">
        <v>20</v>
      </c>
      <c r="I203" s="9">
        <v>3</v>
      </c>
      <c r="J203" s="9">
        <v>764</v>
      </c>
      <c r="K203" s="10">
        <v>2292</v>
      </c>
      <c r="L203" s="9">
        <f>HOUR([1]restaurant_sales_1200!$B203)</f>
        <v>0</v>
      </c>
      <c r="M203" s="9" t="str">
        <f t="shared" si="0"/>
        <v>Thursday</v>
      </c>
    </row>
    <row r="204" spans="1:13" x14ac:dyDescent="0.25">
      <c r="A204" s="6">
        <v>1203</v>
      </c>
      <c r="B204" s="7">
        <v>44988.324437025462</v>
      </c>
      <c r="C204" s="7">
        <v>44988.324437025462</v>
      </c>
      <c r="D204" s="8">
        <v>44988.324437025462</v>
      </c>
      <c r="E204" s="9" t="s">
        <v>62</v>
      </c>
      <c r="F204" s="9" t="s">
        <v>5</v>
      </c>
      <c r="G204" s="9" t="s">
        <v>9</v>
      </c>
      <c r="H204" s="9" t="s">
        <v>33</v>
      </c>
      <c r="I204" s="9">
        <v>1</v>
      </c>
      <c r="J204" s="9">
        <v>531</v>
      </c>
      <c r="K204" s="10">
        <v>531</v>
      </c>
      <c r="L204" s="9">
        <f>HOUR([1]restaurant_sales_1200!$B204)</f>
        <v>7</v>
      </c>
      <c r="M204" s="9" t="str">
        <f t="shared" si="0"/>
        <v>Friday</v>
      </c>
    </row>
    <row r="205" spans="1:13" x14ac:dyDescent="0.25">
      <c r="A205" s="6">
        <v>1204</v>
      </c>
      <c r="B205" s="7">
        <v>44988.628023356483</v>
      </c>
      <c r="C205" s="7">
        <v>44988.628023356483</v>
      </c>
      <c r="D205" s="8">
        <v>44988.628023356483</v>
      </c>
      <c r="E205" s="9" t="s">
        <v>163</v>
      </c>
      <c r="F205" s="9" t="s">
        <v>8</v>
      </c>
      <c r="G205" s="9" t="s">
        <v>6</v>
      </c>
      <c r="H205" s="9" t="s">
        <v>3</v>
      </c>
      <c r="I205" s="9">
        <v>1</v>
      </c>
      <c r="J205" s="9">
        <v>804</v>
      </c>
      <c r="K205" s="10">
        <v>804</v>
      </c>
      <c r="L205" s="9">
        <f>HOUR([1]restaurant_sales_1200!$B205)</f>
        <v>15</v>
      </c>
      <c r="M205" s="9" t="str">
        <f t="shared" si="0"/>
        <v>Saturday</v>
      </c>
    </row>
    <row r="206" spans="1:13" x14ac:dyDescent="0.25">
      <c r="A206" s="6">
        <v>1205</v>
      </c>
      <c r="B206" s="7">
        <v>44988.931609675928</v>
      </c>
      <c r="C206" s="7">
        <v>44988.931609675928</v>
      </c>
      <c r="D206" s="8">
        <v>44988.931609675928</v>
      </c>
      <c r="E206" s="9" t="s">
        <v>164</v>
      </c>
      <c r="F206" s="9" t="s">
        <v>1</v>
      </c>
      <c r="G206" s="9" t="s">
        <v>15</v>
      </c>
      <c r="H206" s="9" t="s">
        <v>10</v>
      </c>
      <c r="I206" s="9">
        <v>4</v>
      </c>
      <c r="J206" s="9">
        <v>684</v>
      </c>
      <c r="K206" s="10">
        <v>2736</v>
      </c>
      <c r="L206" s="9">
        <f>HOUR([1]restaurant_sales_1200!$B206)</f>
        <v>22</v>
      </c>
      <c r="M206" s="9" t="str">
        <f t="shared" si="0"/>
        <v>Sunday</v>
      </c>
    </row>
    <row r="207" spans="1:13" x14ac:dyDescent="0.25">
      <c r="A207" s="6">
        <v>1206</v>
      </c>
      <c r="B207" s="7">
        <v>44989.235195995374</v>
      </c>
      <c r="C207" s="7">
        <v>44989.235195995374</v>
      </c>
      <c r="D207" s="8">
        <v>44989.235195995374</v>
      </c>
      <c r="E207" s="9" t="s">
        <v>163</v>
      </c>
      <c r="F207" s="9" t="s">
        <v>8</v>
      </c>
      <c r="G207" s="9" t="s">
        <v>9</v>
      </c>
      <c r="H207" s="9" t="s">
        <v>31</v>
      </c>
      <c r="I207" s="9">
        <v>3</v>
      </c>
      <c r="J207" s="9">
        <v>498</v>
      </c>
      <c r="K207" s="10">
        <v>1494</v>
      </c>
      <c r="L207" s="9">
        <f>HOUR([1]restaurant_sales_1200!$B207)</f>
        <v>5</v>
      </c>
      <c r="M207" s="9" t="str">
        <f t="shared" si="0"/>
        <v>Monday</v>
      </c>
    </row>
    <row r="208" spans="1:13" x14ac:dyDescent="0.25">
      <c r="A208" s="6">
        <v>1207</v>
      </c>
      <c r="B208" s="7">
        <v>44989.538782314812</v>
      </c>
      <c r="C208" s="7">
        <v>44989.538782314812</v>
      </c>
      <c r="D208" s="8">
        <v>44989.538782314812</v>
      </c>
      <c r="E208" s="9" t="s">
        <v>165</v>
      </c>
      <c r="F208" s="9" t="s">
        <v>8</v>
      </c>
      <c r="G208" s="9" t="s">
        <v>6</v>
      </c>
      <c r="H208" s="9" t="s">
        <v>24</v>
      </c>
      <c r="I208" s="9">
        <v>5</v>
      </c>
      <c r="J208" s="9">
        <v>916</v>
      </c>
      <c r="K208" s="10">
        <v>4580</v>
      </c>
      <c r="L208" s="9">
        <f>HOUR([1]restaurant_sales_1200!$B208)</f>
        <v>12</v>
      </c>
      <c r="M208" s="9" t="str">
        <f t="shared" si="0"/>
        <v>Tuesday</v>
      </c>
    </row>
    <row r="209" spans="1:13" x14ac:dyDescent="0.25">
      <c r="A209" s="6">
        <v>1208</v>
      </c>
      <c r="B209" s="7">
        <v>44989.842368645834</v>
      </c>
      <c r="C209" s="7">
        <v>44989.842368645834</v>
      </c>
      <c r="D209" s="8">
        <v>44989.842368645834</v>
      </c>
      <c r="E209" s="9" t="s">
        <v>166</v>
      </c>
      <c r="F209" s="9" t="s">
        <v>19</v>
      </c>
      <c r="G209" s="9" t="s">
        <v>15</v>
      </c>
      <c r="H209" s="9" t="s">
        <v>3</v>
      </c>
      <c r="I209" s="9">
        <v>3</v>
      </c>
      <c r="J209" s="9">
        <v>988</v>
      </c>
      <c r="K209" s="10">
        <v>2964</v>
      </c>
      <c r="L209" s="9">
        <f>HOUR([1]restaurant_sales_1200!$B209)</f>
        <v>20</v>
      </c>
      <c r="M209" s="9" t="str">
        <f t="shared" si="0"/>
        <v>Wednesday</v>
      </c>
    </row>
    <row r="210" spans="1:13" x14ac:dyDescent="0.25">
      <c r="A210" s="6">
        <v>1209</v>
      </c>
      <c r="B210" s="7">
        <v>44990.145954965279</v>
      </c>
      <c r="C210" s="7">
        <v>44990.145954965279</v>
      </c>
      <c r="D210" s="8">
        <v>44990.145954965279</v>
      </c>
      <c r="E210" s="9" t="s">
        <v>167</v>
      </c>
      <c r="F210" s="9" t="s">
        <v>19</v>
      </c>
      <c r="G210" s="9" t="s">
        <v>6</v>
      </c>
      <c r="H210" s="9" t="s">
        <v>26</v>
      </c>
      <c r="I210" s="9">
        <v>4</v>
      </c>
      <c r="J210" s="9">
        <v>443</v>
      </c>
      <c r="K210" s="10">
        <v>1772</v>
      </c>
      <c r="L210" s="9">
        <f>HOUR([1]restaurant_sales_1200!$B210)</f>
        <v>3</v>
      </c>
      <c r="M210" s="9" t="str">
        <f t="shared" si="0"/>
        <v>Thursday</v>
      </c>
    </row>
    <row r="211" spans="1:13" x14ac:dyDescent="0.25">
      <c r="A211" s="6">
        <v>1210</v>
      </c>
      <c r="B211" s="7">
        <v>44990.449541284725</v>
      </c>
      <c r="C211" s="7">
        <v>44990.449541284725</v>
      </c>
      <c r="D211" s="8">
        <v>44990.449541284725</v>
      </c>
      <c r="E211" s="9" t="s">
        <v>49</v>
      </c>
      <c r="F211" s="9" t="s">
        <v>1</v>
      </c>
      <c r="G211" s="9" t="s">
        <v>30</v>
      </c>
      <c r="H211" s="9" t="s">
        <v>26</v>
      </c>
      <c r="I211" s="9">
        <v>4</v>
      </c>
      <c r="J211" s="9">
        <v>239</v>
      </c>
      <c r="K211" s="10">
        <v>956</v>
      </c>
      <c r="L211" s="9">
        <f>HOUR([1]restaurant_sales_1200!$B211)</f>
        <v>10</v>
      </c>
      <c r="M211" s="9" t="str">
        <f t="shared" si="0"/>
        <v>Friday</v>
      </c>
    </row>
    <row r="212" spans="1:13" x14ac:dyDescent="0.25">
      <c r="A212" s="6">
        <v>1211</v>
      </c>
      <c r="B212" s="7">
        <v>44990.75312760417</v>
      </c>
      <c r="C212" s="7">
        <v>44990.75312760417</v>
      </c>
      <c r="D212" s="8">
        <v>44990.75312760417</v>
      </c>
      <c r="E212" s="9" t="s">
        <v>168</v>
      </c>
      <c r="F212" s="9" t="s">
        <v>19</v>
      </c>
      <c r="G212" s="9" t="s">
        <v>2</v>
      </c>
      <c r="H212" s="9" t="s">
        <v>47</v>
      </c>
      <c r="I212" s="9">
        <v>3</v>
      </c>
      <c r="J212" s="9">
        <v>286</v>
      </c>
      <c r="K212" s="10">
        <v>858</v>
      </c>
      <c r="L212" s="9">
        <f>HOUR([1]restaurant_sales_1200!$B212)</f>
        <v>18</v>
      </c>
      <c r="M212" s="9" t="str">
        <f t="shared" si="0"/>
        <v>Saturday</v>
      </c>
    </row>
    <row r="213" spans="1:13" x14ac:dyDescent="0.25">
      <c r="A213" s="6">
        <v>1212</v>
      </c>
      <c r="B213" s="7">
        <v>44991.056713923608</v>
      </c>
      <c r="C213" s="7">
        <v>44991.056713923608</v>
      </c>
      <c r="D213" s="8">
        <v>44991.056713923608</v>
      </c>
      <c r="E213" s="9" t="s">
        <v>73</v>
      </c>
      <c r="F213" s="9" t="s">
        <v>1</v>
      </c>
      <c r="G213" s="9" t="s">
        <v>2</v>
      </c>
      <c r="H213" s="9" t="s">
        <v>10</v>
      </c>
      <c r="I213" s="9">
        <v>4</v>
      </c>
      <c r="J213" s="9">
        <v>904</v>
      </c>
      <c r="K213" s="10">
        <v>3616</v>
      </c>
      <c r="L213" s="9">
        <f>HOUR([1]restaurant_sales_1200!$B213)</f>
        <v>1</v>
      </c>
      <c r="M213" s="9" t="str">
        <f t="shared" si="0"/>
        <v>Sunday</v>
      </c>
    </row>
    <row r="214" spans="1:13" x14ac:dyDescent="0.25">
      <c r="A214" s="6">
        <v>1213</v>
      </c>
      <c r="B214" s="7">
        <v>44991.36030025463</v>
      </c>
      <c r="C214" s="7">
        <v>44991.36030025463</v>
      </c>
      <c r="D214" s="8">
        <v>44991.36030025463</v>
      </c>
      <c r="E214" s="9" t="s">
        <v>22</v>
      </c>
      <c r="F214" s="9" t="s">
        <v>19</v>
      </c>
      <c r="G214" s="9" t="s">
        <v>30</v>
      </c>
      <c r="H214" s="9" t="s">
        <v>31</v>
      </c>
      <c r="I214" s="9">
        <v>3</v>
      </c>
      <c r="J214" s="9">
        <v>160</v>
      </c>
      <c r="K214" s="10">
        <v>480</v>
      </c>
      <c r="L214" s="9">
        <f>HOUR([1]restaurant_sales_1200!$B214)</f>
        <v>8</v>
      </c>
      <c r="M214" s="9" t="str">
        <f t="shared" si="0"/>
        <v>Monday</v>
      </c>
    </row>
    <row r="215" spans="1:13" x14ac:dyDescent="0.25">
      <c r="A215" s="6">
        <v>1214</v>
      </c>
      <c r="B215" s="7">
        <v>44991.663886574075</v>
      </c>
      <c r="C215" s="7">
        <v>44991.663886574075</v>
      </c>
      <c r="D215" s="8">
        <v>44991.663886574075</v>
      </c>
      <c r="E215" s="9" t="s">
        <v>169</v>
      </c>
      <c r="F215" s="9" t="s">
        <v>8</v>
      </c>
      <c r="G215" s="9" t="s">
        <v>6</v>
      </c>
      <c r="H215" s="9" t="s">
        <v>24</v>
      </c>
      <c r="I215" s="9">
        <v>2</v>
      </c>
      <c r="J215" s="9">
        <v>479</v>
      </c>
      <c r="K215" s="10">
        <v>958</v>
      </c>
      <c r="L215" s="9">
        <f>HOUR([1]restaurant_sales_1200!$B215)</f>
        <v>15</v>
      </c>
      <c r="M215" s="9" t="str">
        <f t="shared" si="0"/>
        <v>Tuesday</v>
      </c>
    </row>
    <row r="216" spans="1:13" x14ac:dyDescent="0.25">
      <c r="A216" s="6">
        <v>1215</v>
      </c>
      <c r="B216" s="7">
        <v>44991.967472893521</v>
      </c>
      <c r="C216" s="7">
        <v>44991.967472893521</v>
      </c>
      <c r="D216" s="8">
        <v>44991.967472893521</v>
      </c>
      <c r="E216" s="9" t="s">
        <v>112</v>
      </c>
      <c r="F216" s="9" t="s">
        <v>8</v>
      </c>
      <c r="G216" s="9" t="s">
        <v>30</v>
      </c>
      <c r="H216" s="9" t="s">
        <v>26</v>
      </c>
      <c r="I216" s="9">
        <v>3</v>
      </c>
      <c r="J216" s="9">
        <v>809</v>
      </c>
      <c r="K216" s="10">
        <v>2427</v>
      </c>
      <c r="L216" s="9">
        <f>HOUR([1]restaurant_sales_1200!$B216)</f>
        <v>23</v>
      </c>
      <c r="M216" s="9" t="str">
        <f t="shared" si="0"/>
        <v>Wednesday</v>
      </c>
    </row>
    <row r="217" spans="1:13" x14ac:dyDescent="0.25">
      <c r="A217" s="6">
        <v>1216</v>
      </c>
      <c r="B217" s="7">
        <v>44992.271059212966</v>
      </c>
      <c r="C217" s="7">
        <v>44992.271059212966</v>
      </c>
      <c r="D217" s="8">
        <v>44992.271059212966</v>
      </c>
      <c r="E217" s="9" t="s">
        <v>170</v>
      </c>
      <c r="F217" s="9" t="s">
        <v>1</v>
      </c>
      <c r="G217" s="9" t="s">
        <v>2</v>
      </c>
      <c r="H217" s="9" t="s">
        <v>31</v>
      </c>
      <c r="I217" s="9">
        <v>3</v>
      </c>
      <c r="J217" s="9">
        <v>906</v>
      </c>
      <c r="K217" s="10">
        <v>2718</v>
      </c>
      <c r="L217" s="9">
        <f>HOUR([1]restaurant_sales_1200!$B217)</f>
        <v>6</v>
      </c>
      <c r="M217" s="9" t="str">
        <f t="shared" si="0"/>
        <v>Thursday</v>
      </c>
    </row>
    <row r="218" spans="1:13" x14ac:dyDescent="0.25">
      <c r="A218" s="6">
        <v>1217</v>
      </c>
      <c r="B218" s="7">
        <v>44992.574645532404</v>
      </c>
      <c r="C218" s="7">
        <v>44992.574645532404</v>
      </c>
      <c r="D218" s="8">
        <v>44992.574645532404</v>
      </c>
      <c r="E218" s="9" t="s">
        <v>171</v>
      </c>
      <c r="F218" s="9" t="s">
        <v>1</v>
      </c>
      <c r="G218" s="9" t="s">
        <v>2</v>
      </c>
      <c r="H218" s="9" t="s">
        <v>3</v>
      </c>
      <c r="I218" s="9">
        <v>4</v>
      </c>
      <c r="J218" s="9">
        <v>539</v>
      </c>
      <c r="K218" s="10">
        <v>2156</v>
      </c>
      <c r="L218" s="9">
        <f>HOUR([1]restaurant_sales_1200!$B218)</f>
        <v>13</v>
      </c>
      <c r="M218" s="9" t="str">
        <f t="shared" si="0"/>
        <v>Friday</v>
      </c>
    </row>
    <row r="219" spans="1:13" x14ac:dyDescent="0.25">
      <c r="A219" s="6">
        <v>1218</v>
      </c>
      <c r="B219" s="7">
        <v>44992.878231863426</v>
      </c>
      <c r="C219" s="7">
        <v>44992.878231863426</v>
      </c>
      <c r="D219" s="8">
        <v>44992.878231863426</v>
      </c>
      <c r="E219" s="9" t="s">
        <v>172</v>
      </c>
      <c r="F219" s="9" t="s">
        <v>19</v>
      </c>
      <c r="G219" s="9" t="s">
        <v>6</v>
      </c>
      <c r="H219" s="9" t="s">
        <v>31</v>
      </c>
      <c r="I219" s="9">
        <v>4</v>
      </c>
      <c r="J219" s="9">
        <v>418</v>
      </c>
      <c r="K219" s="10">
        <v>1672</v>
      </c>
      <c r="L219" s="9">
        <f>HOUR([1]restaurant_sales_1200!$B219)</f>
        <v>21</v>
      </c>
      <c r="M219" s="9" t="str">
        <f t="shared" si="0"/>
        <v>Saturday</v>
      </c>
    </row>
    <row r="220" spans="1:13" x14ac:dyDescent="0.25">
      <c r="A220" s="6">
        <v>1219</v>
      </c>
      <c r="B220" s="7">
        <v>44993.181818182871</v>
      </c>
      <c r="C220" s="7">
        <v>44993.181818182871</v>
      </c>
      <c r="D220" s="8">
        <v>44993.181818182871</v>
      </c>
      <c r="E220" s="9" t="s">
        <v>173</v>
      </c>
      <c r="F220" s="9" t="s">
        <v>19</v>
      </c>
      <c r="G220" s="9" t="s">
        <v>2</v>
      </c>
      <c r="H220" s="9" t="s">
        <v>31</v>
      </c>
      <c r="I220" s="9">
        <v>1</v>
      </c>
      <c r="J220" s="9">
        <v>401</v>
      </c>
      <c r="K220" s="10">
        <v>401</v>
      </c>
      <c r="L220" s="9">
        <f>HOUR([1]restaurant_sales_1200!$B220)</f>
        <v>4</v>
      </c>
      <c r="M220" s="9" t="str">
        <f t="shared" si="0"/>
        <v>Sunday</v>
      </c>
    </row>
    <row r="221" spans="1:13" x14ac:dyDescent="0.25">
      <c r="A221" s="6">
        <v>1220</v>
      </c>
      <c r="B221" s="7">
        <v>44993.485404502317</v>
      </c>
      <c r="C221" s="7">
        <v>44993.485404502317</v>
      </c>
      <c r="D221" s="8">
        <v>44993.485404502317</v>
      </c>
      <c r="E221" s="9" t="s">
        <v>153</v>
      </c>
      <c r="F221" s="9" t="s">
        <v>1</v>
      </c>
      <c r="G221" s="9" t="s">
        <v>30</v>
      </c>
      <c r="H221" s="9" t="s">
        <v>16</v>
      </c>
      <c r="I221" s="9">
        <v>1</v>
      </c>
      <c r="J221" s="9">
        <v>443</v>
      </c>
      <c r="K221" s="10">
        <v>443</v>
      </c>
      <c r="L221" s="9">
        <f>HOUR([1]restaurant_sales_1200!$B221)</f>
        <v>11</v>
      </c>
      <c r="M221" s="9" t="str">
        <f t="shared" si="0"/>
        <v>Monday</v>
      </c>
    </row>
    <row r="222" spans="1:13" x14ac:dyDescent="0.25">
      <c r="A222" s="6">
        <v>1221</v>
      </c>
      <c r="B222" s="7">
        <v>44993.788990821762</v>
      </c>
      <c r="C222" s="7">
        <v>44993.788990821762</v>
      </c>
      <c r="D222" s="8">
        <v>44993.788990821762</v>
      </c>
      <c r="E222" s="9" t="s">
        <v>174</v>
      </c>
      <c r="F222" s="9" t="s">
        <v>1</v>
      </c>
      <c r="G222" s="9" t="s">
        <v>6</v>
      </c>
      <c r="H222" s="9" t="s">
        <v>20</v>
      </c>
      <c r="I222" s="9">
        <v>2</v>
      </c>
      <c r="J222" s="9">
        <v>110</v>
      </c>
      <c r="K222" s="10">
        <v>220</v>
      </c>
      <c r="L222" s="9">
        <f>HOUR([1]restaurant_sales_1200!$B222)</f>
        <v>18</v>
      </c>
      <c r="M222" s="9" t="str">
        <f t="shared" si="0"/>
        <v>Tuesday</v>
      </c>
    </row>
    <row r="223" spans="1:13" x14ac:dyDescent="0.25">
      <c r="A223" s="6">
        <v>1222</v>
      </c>
      <c r="B223" s="7">
        <v>44994.092577152776</v>
      </c>
      <c r="C223" s="7">
        <v>44994.092577152776</v>
      </c>
      <c r="D223" s="8">
        <v>44994.092577152776</v>
      </c>
      <c r="E223" s="9" t="s">
        <v>175</v>
      </c>
      <c r="F223" s="9" t="s">
        <v>8</v>
      </c>
      <c r="G223" s="9" t="s">
        <v>30</v>
      </c>
      <c r="H223" s="9" t="s">
        <v>26</v>
      </c>
      <c r="I223" s="9">
        <v>1</v>
      </c>
      <c r="J223" s="9">
        <v>161</v>
      </c>
      <c r="K223" s="10">
        <v>161</v>
      </c>
      <c r="L223" s="9">
        <f>HOUR([1]restaurant_sales_1200!$B223)</f>
        <v>2</v>
      </c>
      <c r="M223" s="9" t="str">
        <f t="shared" si="0"/>
        <v>Wednesday</v>
      </c>
    </row>
    <row r="224" spans="1:13" x14ac:dyDescent="0.25">
      <c r="A224" s="6">
        <v>1223</v>
      </c>
      <c r="B224" s="7">
        <v>44994.396163472222</v>
      </c>
      <c r="C224" s="7">
        <v>44994.396163472222</v>
      </c>
      <c r="D224" s="8">
        <v>44994.396163472222</v>
      </c>
      <c r="E224" s="9" t="s">
        <v>63</v>
      </c>
      <c r="F224" s="9" t="s">
        <v>8</v>
      </c>
      <c r="G224" s="9" t="s">
        <v>6</v>
      </c>
      <c r="H224" s="9" t="s">
        <v>20</v>
      </c>
      <c r="I224" s="9">
        <v>3</v>
      </c>
      <c r="J224" s="9">
        <v>944</v>
      </c>
      <c r="K224" s="10">
        <v>2832</v>
      </c>
      <c r="L224" s="9">
        <f>HOUR([1]restaurant_sales_1200!$B224)</f>
        <v>9</v>
      </c>
      <c r="M224" s="9" t="str">
        <f t="shared" si="0"/>
        <v>Thursday</v>
      </c>
    </row>
    <row r="225" spans="1:13" x14ac:dyDescent="0.25">
      <c r="A225" s="6">
        <v>1224</v>
      </c>
      <c r="B225" s="7">
        <v>44994.699749791667</v>
      </c>
      <c r="C225" s="7">
        <v>44994.699749791667</v>
      </c>
      <c r="D225" s="8">
        <v>44994.699749791667</v>
      </c>
      <c r="E225" s="9" t="s">
        <v>166</v>
      </c>
      <c r="F225" s="9" t="s">
        <v>1</v>
      </c>
      <c r="G225" s="9" t="s">
        <v>2</v>
      </c>
      <c r="H225" s="9" t="s">
        <v>3</v>
      </c>
      <c r="I225" s="9">
        <v>4</v>
      </c>
      <c r="J225" s="9">
        <v>325</v>
      </c>
      <c r="K225" s="10">
        <v>1300</v>
      </c>
      <c r="L225" s="9">
        <f>HOUR([1]restaurant_sales_1200!$B225)</f>
        <v>16</v>
      </c>
      <c r="M225" s="9" t="str">
        <f t="shared" si="0"/>
        <v>Friday</v>
      </c>
    </row>
    <row r="226" spans="1:13" x14ac:dyDescent="0.25">
      <c r="A226" s="6">
        <v>1225</v>
      </c>
      <c r="B226" s="7">
        <v>44995.003336111113</v>
      </c>
      <c r="C226" s="7">
        <v>44995.003336111113</v>
      </c>
      <c r="D226" s="8">
        <v>44995.003336111113</v>
      </c>
      <c r="E226" s="9" t="s">
        <v>55</v>
      </c>
      <c r="F226" s="9" t="s">
        <v>8</v>
      </c>
      <c r="G226" s="9" t="s">
        <v>15</v>
      </c>
      <c r="H226" s="9" t="s">
        <v>24</v>
      </c>
      <c r="I226" s="9">
        <v>1</v>
      </c>
      <c r="J226" s="9">
        <v>252</v>
      </c>
      <c r="K226" s="10">
        <v>252</v>
      </c>
      <c r="L226" s="9">
        <f>HOUR([1]restaurant_sales_1200!$B226)</f>
        <v>0</v>
      </c>
      <c r="M226" s="9" t="str">
        <f t="shared" si="0"/>
        <v>Saturday</v>
      </c>
    </row>
    <row r="227" spans="1:13" x14ac:dyDescent="0.25">
      <c r="A227" s="6">
        <v>1226</v>
      </c>
      <c r="B227" s="7">
        <v>44995.306922430558</v>
      </c>
      <c r="C227" s="7">
        <v>44995.306922430558</v>
      </c>
      <c r="D227" s="8">
        <v>44995.306922430558</v>
      </c>
      <c r="E227" s="9" t="s">
        <v>39</v>
      </c>
      <c r="F227" s="9" t="s">
        <v>5</v>
      </c>
      <c r="G227" s="9" t="s">
        <v>6</v>
      </c>
      <c r="H227" s="9" t="s">
        <v>20</v>
      </c>
      <c r="I227" s="9">
        <v>1</v>
      </c>
      <c r="J227" s="9">
        <v>810</v>
      </c>
      <c r="K227" s="10">
        <v>810</v>
      </c>
      <c r="L227" s="9">
        <f>HOUR([1]restaurant_sales_1200!$B227)</f>
        <v>7</v>
      </c>
      <c r="M227" s="9" t="str">
        <f t="shared" si="0"/>
        <v>Sunday</v>
      </c>
    </row>
    <row r="228" spans="1:13" x14ac:dyDescent="0.25">
      <c r="A228" s="6">
        <v>1227</v>
      </c>
      <c r="B228" s="7">
        <v>44995.610508761572</v>
      </c>
      <c r="C228" s="7">
        <v>44995.610508761572</v>
      </c>
      <c r="D228" s="8">
        <v>44995.610508761572</v>
      </c>
      <c r="E228" s="9" t="s">
        <v>14</v>
      </c>
      <c r="F228" s="9" t="s">
        <v>19</v>
      </c>
      <c r="G228" s="9" t="s">
        <v>6</v>
      </c>
      <c r="H228" s="9" t="s">
        <v>13</v>
      </c>
      <c r="I228" s="9">
        <v>2</v>
      </c>
      <c r="J228" s="9">
        <v>663</v>
      </c>
      <c r="K228" s="10">
        <v>1326</v>
      </c>
      <c r="L228" s="9">
        <f>HOUR([1]restaurant_sales_1200!$B228)</f>
        <v>14</v>
      </c>
      <c r="M228" s="9" t="str">
        <f t="shared" si="0"/>
        <v>Monday</v>
      </c>
    </row>
    <row r="229" spans="1:13" x14ac:dyDescent="0.25">
      <c r="A229" s="6">
        <v>1228</v>
      </c>
      <c r="B229" s="7">
        <v>44995.914095081018</v>
      </c>
      <c r="C229" s="7">
        <v>44995.914095081018</v>
      </c>
      <c r="D229" s="8">
        <v>44995.914095081018</v>
      </c>
      <c r="E229" s="9" t="s">
        <v>22</v>
      </c>
      <c r="F229" s="9" t="s">
        <v>8</v>
      </c>
      <c r="G229" s="9" t="s">
        <v>15</v>
      </c>
      <c r="H229" s="9" t="s">
        <v>10</v>
      </c>
      <c r="I229" s="9">
        <v>2</v>
      </c>
      <c r="J229" s="9">
        <v>871</v>
      </c>
      <c r="K229" s="10">
        <v>1742</v>
      </c>
      <c r="L229" s="9">
        <f>HOUR([1]restaurant_sales_1200!$B229)</f>
        <v>21</v>
      </c>
      <c r="M229" s="9" t="str">
        <f t="shared" si="0"/>
        <v>Tuesday</v>
      </c>
    </row>
    <row r="230" spans="1:13" x14ac:dyDescent="0.25">
      <c r="A230" s="6">
        <v>1229</v>
      </c>
      <c r="B230" s="7">
        <v>44996.217681400463</v>
      </c>
      <c r="C230" s="7">
        <v>44996.217681400463</v>
      </c>
      <c r="D230" s="8">
        <v>44996.217681400463</v>
      </c>
      <c r="E230" s="9" t="s">
        <v>176</v>
      </c>
      <c r="F230" s="9" t="s">
        <v>5</v>
      </c>
      <c r="G230" s="9" t="s">
        <v>2</v>
      </c>
      <c r="H230" s="9" t="s">
        <v>3</v>
      </c>
      <c r="I230" s="9">
        <v>3</v>
      </c>
      <c r="J230" s="9">
        <v>670</v>
      </c>
      <c r="K230" s="10">
        <v>2010</v>
      </c>
      <c r="L230" s="9">
        <f>HOUR([1]restaurant_sales_1200!$B230)</f>
        <v>5</v>
      </c>
      <c r="M230" s="9" t="str">
        <f t="shared" si="0"/>
        <v>Wednesday</v>
      </c>
    </row>
    <row r="231" spans="1:13" x14ac:dyDescent="0.25">
      <c r="A231" s="6">
        <v>1230</v>
      </c>
      <c r="B231" s="7">
        <v>44996.521267719909</v>
      </c>
      <c r="C231" s="7">
        <v>44996.521267719909</v>
      </c>
      <c r="D231" s="8">
        <v>44996.521267719909</v>
      </c>
      <c r="E231" s="9" t="s">
        <v>40</v>
      </c>
      <c r="F231" s="9" t="s">
        <v>1</v>
      </c>
      <c r="G231" s="9" t="s">
        <v>30</v>
      </c>
      <c r="H231" s="9" t="s">
        <v>47</v>
      </c>
      <c r="I231" s="9">
        <v>4</v>
      </c>
      <c r="J231" s="9">
        <v>683</v>
      </c>
      <c r="K231" s="10">
        <v>2732</v>
      </c>
      <c r="L231" s="9">
        <f>HOUR([1]restaurant_sales_1200!$B231)</f>
        <v>12</v>
      </c>
      <c r="M231" s="9" t="str">
        <f t="shared" si="0"/>
        <v>Thursday</v>
      </c>
    </row>
    <row r="232" spans="1:13" x14ac:dyDescent="0.25">
      <c r="A232" s="6">
        <v>1231</v>
      </c>
      <c r="B232" s="7">
        <v>44996.824854039354</v>
      </c>
      <c r="C232" s="7">
        <v>44996.824854039354</v>
      </c>
      <c r="D232" s="8">
        <v>44996.824854039354</v>
      </c>
      <c r="E232" s="9" t="s">
        <v>79</v>
      </c>
      <c r="F232" s="9" t="s">
        <v>8</v>
      </c>
      <c r="G232" s="9" t="s">
        <v>9</v>
      </c>
      <c r="H232" s="9" t="s">
        <v>33</v>
      </c>
      <c r="I232" s="9">
        <v>2</v>
      </c>
      <c r="J232" s="9">
        <v>759</v>
      </c>
      <c r="K232" s="10">
        <v>1518</v>
      </c>
      <c r="L232" s="9">
        <f>HOUR([1]restaurant_sales_1200!$B232)</f>
        <v>19</v>
      </c>
      <c r="M232" s="9" t="str">
        <f t="shared" si="0"/>
        <v>Friday</v>
      </c>
    </row>
    <row r="233" spans="1:13" x14ac:dyDescent="0.25">
      <c r="A233" s="6">
        <v>1232</v>
      </c>
      <c r="B233" s="7">
        <v>44997.128440370368</v>
      </c>
      <c r="C233" s="7">
        <v>44997.128440370368</v>
      </c>
      <c r="D233" s="8">
        <v>44997.128440370368</v>
      </c>
      <c r="E233" s="9" t="s">
        <v>175</v>
      </c>
      <c r="F233" s="9" t="s">
        <v>1</v>
      </c>
      <c r="G233" s="9" t="s">
        <v>15</v>
      </c>
      <c r="H233" s="9" t="s">
        <v>24</v>
      </c>
      <c r="I233" s="9">
        <v>1</v>
      </c>
      <c r="J233" s="9">
        <v>960</v>
      </c>
      <c r="K233" s="10">
        <v>960</v>
      </c>
      <c r="L233" s="9">
        <f>HOUR([1]restaurant_sales_1200!$B233)</f>
        <v>3</v>
      </c>
      <c r="M233" s="9" t="str">
        <f t="shared" si="0"/>
        <v>Saturday</v>
      </c>
    </row>
    <row r="234" spans="1:13" x14ac:dyDescent="0.25">
      <c r="A234" s="6">
        <v>1233</v>
      </c>
      <c r="B234" s="7">
        <v>44997.432026689814</v>
      </c>
      <c r="C234" s="7">
        <v>44997.432026689814</v>
      </c>
      <c r="D234" s="8">
        <v>44997.432026689814</v>
      </c>
      <c r="E234" s="9" t="s">
        <v>177</v>
      </c>
      <c r="F234" s="9" t="s">
        <v>19</v>
      </c>
      <c r="G234" s="9" t="s">
        <v>9</v>
      </c>
      <c r="H234" s="9" t="s">
        <v>16</v>
      </c>
      <c r="I234" s="9">
        <v>4</v>
      </c>
      <c r="J234" s="9">
        <v>674</v>
      </c>
      <c r="K234" s="10">
        <v>2696</v>
      </c>
      <c r="L234" s="9">
        <f>HOUR([1]restaurant_sales_1200!$B234)</f>
        <v>10</v>
      </c>
      <c r="M234" s="9" t="str">
        <f t="shared" si="0"/>
        <v>Sunday</v>
      </c>
    </row>
    <row r="235" spans="1:13" x14ac:dyDescent="0.25">
      <c r="A235" s="6">
        <v>1234</v>
      </c>
      <c r="B235" s="7">
        <v>44997.735613009259</v>
      </c>
      <c r="C235" s="7">
        <v>44997.735613009259</v>
      </c>
      <c r="D235" s="8">
        <v>44997.735613009259</v>
      </c>
      <c r="E235" s="9" t="s">
        <v>178</v>
      </c>
      <c r="F235" s="9" t="s">
        <v>1</v>
      </c>
      <c r="G235" s="9" t="s">
        <v>2</v>
      </c>
      <c r="H235" s="9" t="s">
        <v>20</v>
      </c>
      <c r="I235" s="9">
        <v>4</v>
      </c>
      <c r="J235" s="9">
        <v>409</v>
      </c>
      <c r="K235" s="10">
        <v>1636</v>
      </c>
      <c r="L235" s="9">
        <f>HOUR([1]restaurant_sales_1200!$B235)</f>
        <v>17</v>
      </c>
      <c r="M235" s="9" t="str">
        <f t="shared" si="0"/>
        <v>Monday</v>
      </c>
    </row>
    <row r="236" spans="1:13" x14ac:dyDescent="0.25">
      <c r="A236" s="6">
        <v>1235</v>
      </c>
      <c r="B236" s="7">
        <v>44998.039199328705</v>
      </c>
      <c r="C236" s="7">
        <v>44998.039199328705</v>
      </c>
      <c r="D236" s="8">
        <v>44998.039199328705</v>
      </c>
      <c r="E236" s="9" t="s">
        <v>144</v>
      </c>
      <c r="F236" s="9" t="s">
        <v>5</v>
      </c>
      <c r="G236" s="9" t="s">
        <v>6</v>
      </c>
      <c r="H236" s="9" t="s">
        <v>16</v>
      </c>
      <c r="I236" s="9">
        <v>1</v>
      </c>
      <c r="J236" s="9">
        <v>984</v>
      </c>
      <c r="K236" s="10">
        <v>984</v>
      </c>
      <c r="L236" s="9">
        <f>HOUR([1]restaurant_sales_1200!$B236)</f>
        <v>0</v>
      </c>
      <c r="M236" s="9" t="str">
        <f t="shared" si="0"/>
        <v>Tuesday</v>
      </c>
    </row>
    <row r="237" spans="1:13" x14ac:dyDescent="0.25">
      <c r="A237" s="6">
        <v>1236</v>
      </c>
      <c r="B237" s="7">
        <v>44998.342785659719</v>
      </c>
      <c r="C237" s="7">
        <v>44998.342785659719</v>
      </c>
      <c r="D237" s="8">
        <v>44998.342785659719</v>
      </c>
      <c r="E237" s="9" t="s">
        <v>171</v>
      </c>
      <c r="F237" s="9" t="s">
        <v>1</v>
      </c>
      <c r="G237" s="9" t="s">
        <v>6</v>
      </c>
      <c r="H237" s="9" t="s">
        <v>13</v>
      </c>
      <c r="I237" s="9">
        <v>2</v>
      </c>
      <c r="J237" s="9">
        <v>342</v>
      </c>
      <c r="K237" s="10">
        <v>684</v>
      </c>
      <c r="L237" s="9">
        <f>HOUR([1]restaurant_sales_1200!$B237)</f>
        <v>8</v>
      </c>
      <c r="M237" s="9" t="str">
        <f t="shared" si="0"/>
        <v>Wednesday</v>
      </c>
    </row>
    <row r="238" spans="1:13" x14ac:dyDescent="0.25">
      <c r="A238" s="6">
        <v>1237</v>
      </c>
      <c r="B238" s="7">
        <v>44998.646371979165</v>
      </c>
      <c r="C238" s="7">
        <v>44998.646371979165</v>
      </c>
      <c r="D238" s="8">
        <v>44998.646371979165</v>
      </c>
      <c r="E238" s="9" t="s">
        <v>179</v>
      </c>
      <c r="F238" s="9" t="s">
        <v>5</v>
      </c>
      <c r="G238" s="9" t="s">
        <v>2</v>
      </c>
      <c r="H238" s="9" t="s">
        <v>20</v>
      </c>
      <c r="I238" s="9">
        <v>1</v>
      </c>
      <c r="J238" s="9">
        <v>592</v>
      </c>
      <c r="K238" s="10">
        <v>592</v>
      </c>
      <c r="L238" s="9">
        <f>HOUR([1]restaurant_sales_1200!$B238)</f>
        <v>15</v>
      </c>
      <c r="M238" s="9" t="str">
        <f t="shared" si="0"/>
        <v>Thursday</v>
      </c>
    </row>
    <row r="239" spans="1:13" x14ac:dyDescent="0.25">
      <c r="A239" s="6">
        <v>1238</v>
      </c>
      <c r="B239" s="7">
        <v>44998.94995829861</v>
      </c>
      <c r="C239" s="7">
        <v>44998.94995829861</v>
      </c>
      <c r="D239" s="8">
        <v>44998.94995829861</v>
      </c>
      <c r="E239" s="9" t="s">
        <v>128</v>
      </c>
      <c r="F239" s="9" t="s">
        <v>8</v>
      </c>
      <c r="G239" s="9" t="s">
        <v>30</v>
      </c>
      <c r="H239" s="9" t="s">
        <v>33</v>
      </c>
      <c r="I239" s="9">
        <v>4</v>
      </c>
      <c r="J239" s="9">
        <v>465</v>
      </c>
      <c r="K239" s="10">
        <v>1860</v>
      </c>
      <c r="L239" s="9">
        <f>HOUR([1]restaurant_sales_1200!$B239)</f>
        <v>22</v>
      </c>
      <c r="M239" s="9" t="str">
        <f t="shared" si="0"/>
        <v>Friday</v>
      </c>
    </row>
    <row r="240" spans="1:13" x14ac:dyDescent="0.25">
      <c r="A240" s="6">
        <v>1239</v>
      </c>
      <c r="B240" s="7">
        <v>44999.253544618055</v>
      </c>
      <c r="C240" s="7">
        <v>44999.253544618055</v>
      </c>
      <c r="D240" s="8">
        <v>44999.253544618055</v>
      </c>
      <c r="E240" s="9" t="s">
        <v>180</v>
      </c>
      <c r="F240" s="9" t="s">
        <v>8</v>
      </c>
      <c r="G240" s="9" t="s">
        <v>30</v>
      </c>
      <c r="H240" s="9" t="s">
        <v>33</v>
      </c>
      <c r="I240" s="9">
        <v>5</v>
      </c>
      <c r="J240" s="9">
        <v>429</v>
      </c>
      <c r="K240" s="10">
        <v>2145</v>
      </c>
      <c r="L240" s="9">
        <f>HOUR([1]restaurant_sales_1200!$B240)</f>
        <v>6</v>
      </c>
      <c r="M240" s="9" t="str">
        <f t="shared" si="0"/>
        <v>Saturday</v>
      </c>
    </row>
    <row r="241" spans="1:13" x14ac:dyDescent="0.25">
      <c r="A241" s="6">
        <v>1240</v>
      </c>
      <c r="B241" s="7">
        <v>44999.557130937501</v>
      </c>
      <c r="C241" s="7">
        <v>44999.557130937501</v>
      </c>
      <c r="D241" s="8">
        <v>44999.557130937501</v>
      </c>
      <c r="E241" s="9" t="s">
        <v>27</v>
      </c>
      <c r="F241" s="9" t="s">
        <v>5</v>
      </c>
      <c r="G241" s="9" t="s">
        <v>2</v>
      </c>
      <c r="H241" s="9" t="s">
        <v>31</v>
      </c>
      <c r="I241" s="9">
        <v>5</v>
      </c>
      <c r="J241" s="9">
        <v>206</v>
      </c>
      <c r="K241" s="10">
        <v>1030</v>
      </c>
      <c r="L241" s="9">
        <f>HOUR([1]restaurant_sales_1200!$B241)</f>
        <v>13</v>
      </c>
      <c r="M241" s="9" t="str">
        <f t="shared" si="0"/>
        <v>Sunday</v>
      </c>
    </row>
    <row r="242" spans="1:13" x14ac:dyDescent="0.25">
      <c r="A242" s="6">
        <v>1241</v>
      </c>
      <c r="B242" s="7">
        <v>44999.860717268515</v>
      </c>
      <c r="C242" s="7">
        <v>44999.860717268515</v>
      </c>
      <c r="D242" s="8">
        <v>44999.860717268515</v>
      </c>
      <c r="E242" s="9" t="s">
        <v>159</v>
      </c>
      <c r="F242" s="9" t="s">
        <v>19</v>
      </c>
      <c r="G242" s="9" t="s">
        <v>2</v>
      </c>
      <c r="H242" s="9" t="s">
        <v>31</v>
      </c>
      <c r="I242" s="9">
        <v>3</v>
      </c>
      <c r="J242" s="9">
        <v>325</v>
      </c>
      <c r="K242" s="10">
        <v>975</v>
      </c>
      <c r="L242" s="9">
        <f>HOUR([1]restaurant_sales_1200!$B242)</f>
        <v>20</v>
      </c>
      <c r="M242" s="9" t="str">
        <f t="shared" si="0"/>
        <v>Monday</v>
      </c>
    </row>
    <row r="243" spans="1:13" x14ac:dyDescent="0.25">
      <c r="A243" s="6">
        <v>1242</v>
      </c>
      <c r="B243" s="7">
        <v>45000.164303587961</v>
      </c>
      <c r="C243" s="7">
        <v>45000.164303587961</v>
      </c>
      <c r="D243" s="8">
        <v>45000.164303587961</v>
      </c>
      <c r="E243" s="9" t="s">
        <v>181</v>
      </c>
      <c r="F243" s="9" t="s">
        <v>19</v>
      </c>
      <c r="G243" s="9" t="s">
        <v>2</v>
      </c>
      <c r="H243" s="9" t="s">
        <v>26</v>
      </c>
      <c r="I243" s="9">
        <v>1</v>
      </c>
      <c r="J243" s="9">
        <v>924</v>
      </c>
      <c r="K243" s="10">
        <v>924</v>
      </c>
      <c r="L243" s="9">
        <f>HOUR([1]restaurant_sales_1200!$B243)</f>
        <v>3</v>
      </c>
      <c r="M243" s="9" t="str">
        <f t="shared" si="0"/>
        <v>Tuesday</v>
      </c>
    </row>
    <row r="244" spans="1:13" x14ac:dyDescent="0.25">
      <c r="A244" s="6">
        <v>1243</v>
      </c>
      <c r="B244" s="7">
        <v>45000.467889907406</v>
      </c>
      <c r="C244" s="7">
        <v>45000.467889907406</v>
      </c>
      <c r="D244" s="8">
        <v>45000.467889907406</v>
      </c>
      <c r="E244" s="9" t="s">
        <v>165</v>
      </c>
      <c r="F244" s="9" t="s">
        <v>19</v>
      </c>
      <c r="G244" s="9" t="s">
        <v>2</v>
      </c>
      <c r="H244" s="9" t="s">
        <v>16</v>
      </c>
      <c r="I244" s="9">
        <v>1</v>
      </c>
      <c r="J244" s="9">
        <v>317</v>
      </c>
      <c r="K244" s="10">
        <v>317</v>
      </c>
      <c r="L244" s="9">
        <f>HOUR([1]restaurant_sales_1200!$B244)</f>
        <v>11</v>
      </c>
      <c r="M244" s="9" t="str">
        <f t="shared" si="0"/>
        <v>Wednesday</v>
      </c>
    </row>
    <row r="245" spans="1:13" x14ac:dyDescent="0.25">
      <c r="A245" s="6">
        <v>1244</v>
      </c>
      <c r="B245" s="7">
        <v>45000.771476226852</v>
      </c>
      <c r="C245" s="7">
        <v>45000.771476226852</v>
      </c>
      <c r="D245" s="8">
        <v>45000.771476226852</v>
      </c>
      <c r="E245" s="9" t="s">
        <v>139</v>
      </c>
      <c r="F245" s="9" t="s">
        <v>8</v>
      </c>
      <c r="G245" s="9" t="s">
        <v>2</v>
      </c>
      <c r="H245" s="9" t="s">
        <v>47</v>
      </c>
      <c r="I245" s="9">
        <v>3</v>
      </c>
      <c r="J245" s="9">
        <v>852</v>
      </c>
      <c r="K245" s="10">
        <v>2556</v>
      </c>
      <c r="L245" s="9">
        <f>HOUR([1]restaurant_sales_1200!$B245)</f>
        <v>18</v>
      </c>
      <c r="M245" s="9" t="str">
        <f t="shared" si="0"/>
        <v>Thursday</v>
      </c>
    </row>
    <row r="246" spans="1:13" x14ac:dyDescent="0.25">
      <c r="A246" s="6">
        <v>1245</v>
      </c>
      <c r="B246" s="7">
        <v>45001.075062557873</v>
      </c>
      <c r="C246" s="7">
        <v>45001.075062557873</v>
      </c>
      <c r="D246" s="8">
        <v>45001.075062557873</v>
      </c>
      <c r="E246" s="9" t="s">
        <v>182</v>
      </c>
      <c r="F246" s="9" t="s">
        <v>8</v>
      </c>
      <c r="G246" s="9" t="s">
        <v>2</v>
      </c>
      <c r="H246" s="9" t="s">
        <v>31</v>
      </c>
      <c r="I246" s="9">
        <v>3</v>
      </c>
      <c r="J246" s="9">
        <v>605</v>
      </c>
      <c r="K246" s="10">
        <v>1815</v>
      </c>
      <c r="L246" s="9">
        <f>HOUR([1]restaurant_sales_1200!$B246)</f>
        <v>1</v>
      </c>
      <c r="M246" s="9" t="str">
        <f t="shared" si="0"/>
        <v>Friday</v>
      </c>
    </row>
    <row r="247" spans="1:13" x14ac:dyDescent="0.25">
      <c r="A247" s="6">
        <v>1246</v>
      </c>
      <c r="B247" s="7">
        <v>45001.378648877311</v>
      </c>
      <c r="C247" s="7">
        <v>45001.378648877311</v>
      </c>
      <c r="D247" s="8">
        <v>45001.378648877311</v>
      </c>
      <c r="E247" s="9" t="s">
        <v>160</v>
      </c>
      <c r="F247" s="9" t="s">
        <v>19</v>
      </c>
      <c r="G247" s="9" t="s">
        <v>6</v>
      </c>
      <c r="H247" s="9" t="s">
        <v>24</v>
      </c>
      <c r="I247" s="9">
        <v>3</v>
      </c>
      <c r="J247" s="9">
        <v>358</v>
      </c>
      <c r="K247" s="10">
        <v>1074</v>
      </c>
      <c r="L247" s="9">
        <f>HOUR([1]restaurant_sales_1200!$B247)</f>
        <v>9</v>
      </c>
      <c r="M247" s="9" t="str">
        <f t="shared" si="0"/>
        <v>Saturday</v>
      </c>
    </row>
    <row r="248" spans="1:13" x14ac:dyDescent="0.25">
      <c r="A248" s="6">
        <v>1247</v>
      </c>
      <c r="B248" s="7">
        <v>45001.682235196757</v>
      </c>
      <c r="C248" s="7">
        <v>45001.682235196757</v>
      </c>
      <c r="D248" s="8">
        <v>45001.682235196757</v>
      </c>
      <c r="E248" s="9" t="s">
        <v>86</v>
      </c>
      <c r="F248" s="9" t="s">
        <v>1</v>
      </c>
      <c r="G248" s="9" t="s">
        <v>9</v>
      </c>
      <c r="H248" s="9" t="s">
        <v>31</v>
      </c>
      <c r="I248" s="9">
        <v>4</v>
      </c>
      <c r="J248" s="9">
        <v>987</v>
      </c>
      <c r="K248" s="10">
        <v>3948</v>
      </c>
      <c r="L248" s="9">
        <f>HOUR([1]restaurant_sales_1200!$B248)</f>
        <v>16</v>
      </c>
      <c r="M248" s="9" t="str">
        <f t="shared" si="0"/>
        <v>Sunday</v>
      </c>
    </row>
    <row r="249" spans="1:13" x14ac:dyDescent="0.25">
      <c r="A249" s="6">
        <v>1248</v>
      </c>
      <c r="B249" s="7">
        <v>45001.985821516202</v>
      </c>
      <c r="C249" s="7">
        <v>45001.985821516202</v>
      </c>
      <c r="D249" s="8">
        <v>45001.985821516202</v>
      </c>
      <c r="E249" s="9" t="s">
        <v>155</v>
      </c>
      <c r="F249" s="9" t="s">
        <v>19</v>
      </c>
      <c r="G249" s="9" t="s">
        <v>30</v>
      </c>
      <c r="H249" s="9" t="s">
        <v>31</v>
      </c>
      <c r="I249" s="9">
        <v>1</v>
      </c>
      <c r="J249" s="9">
        <v>873</v>
      </c>
      <c r="K249" s="10">
        <v>873</v>
      </c>
      <c r="L249" s="9">
        <f>HOUR([1]restaurant_sales_1200!$B249)</f>
        <v>23</v>
      </c>
      <c r="M249" s="9" t="str">
        <f t="shared" si="0"/>
        <v>Monday</v>
      </c>
    </row>
    <row r="250" spans="1:13" x14ac:dyDescent="0.25">
      <c r="A250" s="6">
        <v>1249</v>
      </c>
      <c r="B250" s="7">
        <v>45002.289407835648</v>
      </c>
      <c r="C250" s="7">
        <v>45002.289407835648</v>
      </c>
      <c r="D250" s="8">
        <v>45002.289407835648</v>
      </c>
      <c r="E250" s="9" t="s">
        <v>145</v>
      </c>
      <c r="F250" s="9" t="s">
        <v>1</v>
      </c>
      <c r="G250" s="9" t="s">
        <v>9</v>
      </c>
      <c r="H250" s="9" t="s">
        <v>3</v>
      </c>
      <c r="I250" s="9">
        <v>4</v>
      </c>
      <c r="J250" s="9">
        <v>616</v>
      </c>
      <c r="K250" s="10">
        <v>2464</v>
      </c>
      <c r="L250" s="9">
        <f>HOUR([1]restaurant_sales_1200!$B250)</f>
        <v>6</v>
      </c>
      <c r="M250" s="9" t="str">
        <f t="shared" si="0"/>
        <v>Tuesday</v>
      </c>
    </row>
    <row r="251" spans="1:13" x14ac:dyDescent="0.25">
      <c r="A251" s="6">
        <v>1250</v>
      </c>
      <c r="B251" s="7">
        <v>45002.592994166669</v>
      </c>
      <c r="C251" s="7">
        <v>45002.592994166669</v>
      </c>
      <c r="D251" s="8">
        <v>45002.592994166669</v>
      </c>
      <c r="E251" s="9" t="s">
        <v>48</v>
      </c>
      <c r="F251" s="9" t="s">
        <v>19</v>
      </c>
      <c r="G251" s="9" t="s">
        <v>6</v>
      </c>
      <c r="H251" s="9" t="s">
        <v>20</v>
      </c>
      <c r="I251" s="9">
        <v>3</v>
      </c>
      <c r="J251" s="9">
        <v>872</v>
      </c>
      <c r="K251" s="10">
        <v>2616</v>
      </c>
      <c r="L251" s="9">
        <f>HOUR([1]restaurant_sales_1200!$B251)</f>
        <v>14</v>
      </c>
      <c r="M251" s="9" t="str">
        <f t="shared" si="0"/>
        <v>Wednesday</v>
      </c>
    </row>
    <row r="252" spans="1:13" x14ac:dyDescent="0.25">
      <c r="A252" s="6">
        <v>1251</v>
      </c>
      <c r="B252" s="7">
        <v>45002.896580486115</v>
      </c>
      <c r="C252" s="7">
        <v>45002.896580486115</v>
      </c>
      <c r="D252" s="8">
        <v>45002.896580486115</v>
      </c>
      <c r="E252" s="9" t="s">
        <v>120</v>
      </c>
      <c r="F252" s="9" t="s">
        <v>1</v>
      </c>
      <c r="G252" s="9" t="s">
        <v>15</v>
      </c>
      <c r="H252" s="9" t="s">
        <v>16</v>
      </c>
      <c r="I252" s="9">
        <v>1</v>
      </c>
      <c r="J252" s="9">
        <v>153</v>
      </c>
      <c r="K252" s="10">
        <v>153</v>
      </c>
      <c r="L252" s="9">
        <f>HOUR([1]restaurant_sales_1200!$B252)</f>
        <v>21</v>
      </c>
      <c r="M252" s="9" t="str">
        <f t="shared" si="0"/>
        <v>Thursday</v>
      </c>
    </row>
    <row r="253" spans="1:13" x14ac:dyDescent="0.25">
      <c r="A253" s="6">
        <v>1252</v>
      </c>
      <c r="B253" s="7">
        <v>45003.200166805553</v>
      </c>
      <c r="C253" s="7">
        <v>45003.200166805553</v>
      </c>
      <c r="D253" s="8">
        <v>45003.200166805553</v>
      </c>
      <c r="E253" s="9" t="s">
        <v>183</v>
      </c>
      <c r="F253" s="9" t="s">
        <v>8</v>
      </c>
      <c r="G253" s="9" t="s">
        <v>9</v>
      </c>
      <c r="H253" s="9" t="s">
        <v>3</v>
      </c>
      <c r="I253" s="9">
        <v>4</v>
      </c>
      <c r="J253" s="9">
        <v>146</v>
      </c>
      <c r="K253" s="10">
        <v>584</v>
      </c>
      <c r="L253" s="9">
        <f>HOUR([1]restaurant_sales_1200!$B253)</f>
        <v>4</v>
      </c>
      <c r="M253" s="9" t="str">
        <f t="shared" si="0"/>
        <v>Friday</v>
      </c>
    </row>
    <row r="254" spans="1:13" x14ac:dyDescent="0.25">
      <c r="A254" s="6">
        <v>1253</v>
      </c>
      <c r="B254" s="7">
        <v>45003.503753124998</v>
      </c>
      <c r="C254" s="7">
        <v>45003.503753124998</v>
      </c>
      <c r="D254" s="8">
        <v>45003.503753124998</v>
      </c>
      <c r="E254" s="9" t="s">
        <v>52</v>
      </c>
      <c r="F254" s="9" t="s">
        <v>19</v>
      </c>
      <c r="G254" s="9" t="s">
        <v>15</v>
      </c>
      <c r="H254" s="9" t="s">
        <v>3</v>
      </c>
      <c r="I254" s="9">
        <v>4</v>
      </c>
      <c r="J254" s="9">
        <v>826</v>
      </c>
      <c r="K254" s="10">
        <v>3304</v>
      </c>
      <c r="L254" s="9">
        <f>HOUR([1]restaurant_sales_1200!$B254)</f>
        <v>12</v>
      </c>
      <c r="M254" s="9" t="str">
        <f t="shared" si="0"/>
        <v>Saturday</v>
      </c>
    </row>
    <row r="255" spans="1:13" x14ac:dyDescent="0.25">
      <c r="A255" s="6">
        <v>1254</v>
      </c>
      <c r="B255" s="7">
        <v>45003.807339444444</v>
      </c>
      <c r="C255" s="7">
        <v>45003.807339444444</v>
      </c>
      <c r="D255" s="8">
        <v>45003.807339444444</v>
      </c>
      <c r="E255" s="9" t="s">
        <v>69</v>
      </c>
      <c r="F255" s="9" t="s">
        <v>19</v>
      </c>
      <c r="G255" s="9" t="s">
        <v>6</v>
      </c>
      <c r="H255" s="9" t="s">
        <v>16</v>
      </c>
      <c r="I255" s="9">
        <v>3</v>
      </c>
      <c r="J255" s="9">
        <v>788</v>
      </c>
      <c r="K255" s="10">
        <v>2364</v>
      </c>
      <c r="L255" s="9">
        <f>HOUR([1]restaurant_sales_1200!$B255)</f>
        <v>19</v>
      </c>
      <c r="M255" s="9" t="str">
        <f t="shared" si="0"/>
        <v>Sunday</v>
      </c>
    </row>
    <row r="256" spans="1:13" x14ac:dyDescent="0.25">
      <c r="A256" s="6">
        <v>1255</v>
      </c>
      <c r="B256" s="7">
        <v>45004.110925775465</v>
      </c>
      <c r="C256" s="7">
        <v>45004.110925775465</v>
      </c>
      <c r="D256" s="8">
        <v>45004.110925775465</v>
      </c>
      <c r="E256" s="9" t="s">
        <v>184</v>
      </c>
      <c r="F256" s="9" t="s">
        <v>5</v>
      </c>
      <c r="G256" s="9" t="s">
        <v>30</v>
      </c>
      <c r="H256" s="9" t="s">
        <v>33</v>
      </c>
      <c r="I256" s="9">
        <v>1</v>
      </c>
      <c r="J256" s="9">
        <v>620</v>
      </c>
      <c r="K256" s="10">
        <v>620</v>
      </c>
      <c r="L256" s="9">
        <f>HOUR([1]restaurant_sales_1200!$B256)</f>
        <v>2</v>
      </c>
      <c r="M256" s="9" t="str">
        <f t="shared" si="0"/>
        <v>Monday</v>
      </c>
    </row>
    <row r="257" spans="1:13" x14ac:dyDescent="0.25">
      <c r="A257" s="6">
        <v>1256</v>
      </c>
      <c r="B257" s="7">
        <v>45004.414512094911</v>
      </c>
      <c r="C257" s="7">
        <v>45004.414512094911</v>
      </c>
      <c r="D257" s="8">
        <v>45004.414512094911</v>
      </c>
      <c r="E257" s="9" t="s">
        <v>22</v>
      </c>
      <c r="F257" s="9" t="s">
        <v>19</v>
      </c>
      <c r="G257" s="9" t="s">
        <v>15</v>
      </c>
      <c r="H257" s="9" t="s">
        <v>31</v>
      </c>
      <c r="I257" s="9">
        <v>3</v>
      </c>
      <c r="J257" s="9">
        <v>198</v>
      </c>
      <c r="K257" s="10">
        <v>594</v>
      </c>
      <c r="L257" s="9">
        <f>HOUR([1]restaurant_sales_1200!$B257)</f>
        <v>9</v>
      </c>
      <c r="M257" s="9" t="str">
        <f t="shared" ref="M257:M511" si="1">TEXT(A257,"dddd")</f>
        <v>Tuesday</v>
      </c>
    </row>
    <row r="258" spans="1:13" x14ac:dyDescent="0.25">
      <c r="A258" s="6">
        <v>1257</v>
      </c>
      <c r="B258" s="7">
        <v>45004.718098414349</v>
      </c>
      <c r="C258" s="7">
        <v>45004.718098414349</v>
      </c>
      <c r="D258" s="8">
        <v>45004.718098414349</v>
      </c>
      <c r="E258" s="9" t="s">
        <v>185</v>
      </c>
      <c r="F258" s="9" t="s">
        <v>1</v>
      </c>
      <c r="G258" s="9" t="s">
        <v>6</v>
      </c>
      <c r="H258" s="9" t="s">
        <v>47</v>
      </c>
      <c r="I258" s="9">
        <v>1</v>
      </c>
      <c r="J258" s="9">
        <v>119</v>
      </c>
      <c r="K258" s="10">
        <v>119</v>
      </c>
      <c r="L258" s="9">
        <f>HOUR([1]restaurant_sales_1200!$B258)</f>
        <v>17</v>
      </c>
      <c r="M258" s="9" t="str">
        <f t="shared" si="1"/>
        <v>Wednesday</v>
      </c>
    </row>
    <row r="259" spans="1:13" x14ac:dyDescent="0.25">
      <c r="A259" s="6">
        <v>1258</v>
      </c>
      <c r="B259" s="7">
        <v>45005.021684733794</v>
      </c>
      <c r="C259" s="7">
        <v>45005.021684733794</v>
      </c>
      <c r="D259" s="8">
        <v>45005.021684733794</v>
      </c>
      <c r="E259" s="9" t="s">
        <v>186</v>
      </c>
      <c r="F259" s="9" t="s">
        <v>5</v>
      </c>
      <c r="G259" s="9" t="s">
        <v>2</v>
      </c>
      <c r="H259" s="9" t="s">
        <v>33</v>
      </c>
      <c r="I259" s="9">
        <v>5</v>
      </c>
      <c r="J259" s="9">
        <v>989</v>
      </c>
      <c r="K259" s="10">
        <v>4945</v>
      </c>
      <c r="L259" s="9">
        <f>HOUR([1]restaurant_sales_1200!$B259)</f>
        <v>0</v>
      </c>
      <c r="M259" s="9" t="str">
        <f t="shared" si="1"/>
        <v>Thursday</v>
      </c>
    </row>
    <row r="260" spans="1:13" x14ac:dyDescent="0.25">
      <c r="A260" s="6">
        <v>1259</v>
      </c>
      <c r="B260" s="7">
        <v>45005.325271064816</v>
      </c>
      <c r="C260" s="7">
        <v>45005.325271064816</v>
      </c>
      <c r="D260" s="8">
        <v>45005.325271064816</v>
      </c>
      <c r="E260" s="9" t="s">
        <v>44</v>
      </c>
      <c r="F260" s="9" t="s">
        <v>19</v>
      </c>
      <c r="G260" s="9" t="s">
        <v>30</v>
      </c>
      <c r="H260" s="9" t="s">
        <v>3</v>
      </c>
      <c r="I260" s="9">
        <v>2</v>
      </c>
      <c r="J260" s="9">
        <v>852</v>
      </c>
      <c r="K260" s="10">
        <v>1704</v>
      </c>
      <c r="L260" s="9">
        <f>HOUR([1]restaurant_sales_1200!$B260)</f>
        <v>7</v>
      </c>
      <c r="M260" s="9" t="str">
        <f t="shared" si="1"/>
        <v>Friday</v>
      </c>
    </row>
    <row r="261" spans="1:13" x14ac:dyDescent="0.25">
      <c r="A261" s="6">
        <v>1260</v>
      </c>
      <c r="B261" s="7">
        <v>45005.628857384261</v>
      </c>
      <c r="C261" s="7">
        <v>45005.628857384261</v>
      </c>
      <c r="D261" s="8">
        <v>45005.628857384261</v>
      </c>
      <c r="E261" s="9" t="s">
        <v>166</v>
      </c>
      <c r="F261" s="9" t="s">
        <v>19</v>
      </c>
      <c r="G261" s="9" t="s">
        <v>2</v>
      </c>
      <c r="H261" s="9" t="s">
        <v>13</v>
      </c>
      <c r="I261" s="9">
        <v>2</v>
      </c>
      <c r="J261" s="9">
        <v>672</v>
      </c>
      <c r="K261" s="10">
        <v>1344</v>
      </c>
      <c r="L261" s="9">
        <f>HOUR([1]restaurant_sales_1200!$B261)</f>
        <v>15</v>
      </c>
      <c r="M261" s="9" t="str">
        <f t="shared" si="1"/>
        <v>Saturday</v>
      </c>
    </row>
    <row r="262" spans="1:13" x14ac:dyDescent="0.25">
      <c r="A262" s="6">
        <v>1261</v>
      </c>
      <c r="B262" s="7">
        <v>45005.932443703707</v>
      </c>
      <c r="C262" s="7">
        <v>45005.932443703707</v>
      </c>
      <c r="D262" s="8">
        <v>45005.932443703707</v>
      </c>
      <c r="E262" s="9" t="s">
        <v>187</v>
      </c>
      <c r="F262" s="9" t="s">
        <v>8</v>
      </c>
      <c r="G262" s="9" t="s">
        <v>30</v>
      </c>
      <c r="H262" s="9" t="s">
        <v>13</v>
      </c>
      <c r="I262" s="9">
        <v>2</v>
      </c>
      <c r="J262" s="9">
        <v>990</v>
      </c>
      <c r="K262" s="10">
        <v>1980</v>
      </c>
      <c r="L262" s="9">
        <f>HOUR([1]restaurant_sales_1200!$B262)</f>
        <v>22</v>
      </c>
      <c r="M262" s="9" t="str">
        <f t="shared" si="1"/>
        <v>Sunday</v>
      </c>
    </row>
    <row r="263" spans="1:13" x14ac:dyDescent="0.25">
      <c r="A263" s="6">
        <v>1262</v>
      </c>
      <c r="B263" s="7">
        <v>45006.236030023145</v>
      </c>
      <c r="C263" s="7">
        <v>45006.236030023145</v>
      </c>
      <c r="D263" s="8">
        <v>45006.236030023145</v>
      </c>
      <c r="E263" s="9" t="s">
        <v>28</v>
      </c>
      <c r="F263" s="9" t="s">
        <v>5</v>
      </c>
      <c r="G263" s="9" t="s">
        <v>30</v>
      </c>
      <c r="H263" s="9" t="s">
        <v>10</v>
      </c>
      <c r="I263" s="9">
        <v>3</v>
      </c>
      <c r="J263" s="9">
        <v>589</v>
      </c>
      <c r="K263" s="10">
        <v>1767</v>
      </c>
      <c r="L263" s="9">
        <f>HOUR([1]restaurant_sales_1200!$B263)</f>
        <v>5</v>
      </c>
      <c r="M263" s="9" t="str">
        <f t="shared" si="1"/>
        <v>Monday</v>
      </c>
    </row>
    <row r="264" spans="1:13" x14ac:dyDescent="0.25">
      <c r="A264" s="6">
        <v>1263</v>
      </c>
      <c r="B264" s="7">
        <v>45006.53961634259</v>
      </c>
      <c r="C264" s="7">
        <v>45006.53961634259</v>
      </c>
      <c r="D264" s="8">
        <v>45006.53961634259</v>
      </c>
      <c r="E264" s="9" t="s">
        <v>136</v>
      </c>
      <c r="F264" s="9" t="s">
        <v>1</v>
      </c>
      <c r="G264" s="9" t="s">
        <v>9</v>
      </c>
      <c r="H264" s="9" t="s">
        <v>31</v>
      </c>
      <c r="I264" s="9">
        <v>5</v>
      </c>
      <c r="J264" s="9">
        <v>518</v>
      </c>
      <c r="K264" s="10">
        <v>2590</v>
      </c>
      <c r="L264" s="9">
        <f>HOUR([1]restaurant_sales_1200!$B264)</f>
        <v>12</v>
      </c>
      <c r="M264" s="9" t="str">
        <f t="shared" si="1"/>
        <v>Tuesday</v>
      </c>
    </row>
    <row r="265" spans="1:13" x14ac:dyDescent="0.25">
      <c r="A265" s="6">
        <v>1264</v>
      </c>
      <c r="B265" s="7">
        <v>45006.843202673612</v>
      </c>
      <c r="C265" s="7">
        <v>45006.843202673612</v>
      </c>
      <c r="D265" s="8">
        <v>45006.843202673612</v>
      </c>
      <c r="E265" s="9" t="s">
        <v>188</v>
      </c>
      <c r="F265" s="9" t="s">
        <v>19</v>
      </c>
      <c r="G265" s="9" t="s">
        <v>30</v>
      </c>
      <c r="H265" s="9" t="s">
        <v>31</v>
      </c>
      <c r="I265" s="9">
        <v>1</v>
      </c>
      <c r="J265" s="9">
        <v>789</v>
      </c>
      <c r="K265" s="10">
        <v>789</v>
      </c>
      <c r="L265" s="9">
        <f>HOUR([1]restaurant_sales_1200!$B265)</f>
        <v>20</v>
      </c>
      <c r="M265" s="9" t="str">
        <f t="shared" si="1"/>
        <v>Wednesday</v>
      </c>
    </row>
    <row r="266" spans="1:13" x14ac:dyDescent="0.25">
      <c r="A266" s="6">
        <v>1265</v>
      </c>
      <c r="B266" s="7">
        <v>45007.146788993057</v>
      </c>
      <c r="C266" s="7">
        <v>45007.146788993057</v>
      </c>
      <c r="D266" s="8">
        <v>45007.146788993057</v>
      </c>
      <c r="E266" s="9" t="s">
        <v>189</v>
      </c>
      <c r="F266" s="9" t="s">
        <v>8</v>
      </c>
      <c r="G266" s="9" t="s">
        <v>9</v>
      </c>
      <c r="H266" s="9" t="s">
        <v>33</v>
      </c>
      <c r="I266" s="9">
        <v>4</v>
      </c>
      <c r="J266" s="9">
        <v>949</v>
      </c>
      <c r="K266" s="10">
        <v>3796</v>
      </c>
      <c r="L266" s="9">
        <f>HOUR([1]restaurant_sales_1200!$B266)</f>
        <v>3</v>
      </c>
      <c r="M266" s="9" t="str">
        <f t="shared" si="1"/>
        <v>Thursday</v>
      </c>
    </row>
    <row r="267" spans="1:13" x14ac:dyDescent="0.25">
      <c r="A267" s="6">
        <v>1266</v>
      </c>
      <c r="B267" s="7">
        <v>45007.450375312503</v>
      </c>
      <c r="C267" s="7">
        <v>45007.450375312503</v>
      </c>
      <c r="D267" s="8">
        <v>45007.450375312503</v>
      </c>
      <c r="E267" s="9" t="s">
        <v>172</v>
      </c>
      <c r="F267" s="9" t="s">
        <v>19</v>
      </c>
      <c r="G267" s="9" t="s">
        <v>15</v>
      </c>
      <c r="H267" s="9" t="s">
        <v>33</v>
      </c>
      <c r="I267" s="9">
        <v>1</v>
      </c>
      <c r="J267" s="9">
        <v>161</v>
      </c>
      <c r="K267" s="10">
        <v>161</v>
      </c>
      <c r="L267" s="9">
        <f>HOUR([1]restaurant_sales_1200!$B267)</f>
        <v>10</v>
      </c>
      <c r="M267" s="9" t="str">
        <f t="shared" si="1"/>
        <v>Friday</v>
      </c>
    </row>
    <row r="268" spans="1:13" x14ac:dyDescent="0.25">
      <c r="A268" s="6">
        <v>1267</v>
      </c>
      <c r="B268" s="7">
        <v>45007.753961631941</v>
      </c>
      <c r="C268" s="7">
        <v>45007.753961631941</v>
      </c>
      <c r="D268" s="8">
        <v>45007.753961631941</v>
      </c>
      <c r="E268" s="9" t="s">
        <v>190</v>
      </c>
      <c r="F268" s="9" t="s">
        <v>5</v>
      </c>
      <c r="G268" s="9" t="s">
        <v>30</v>
      </c>
      <c r="H268" s="9" t="s">
        <v>47</v>
      </c>
      <c r="I268" s="9">
        <v>4</v>
      </c>
      <c r="J268" s="9">
        <v>244</v>
      </c>
      <c r="K268" s="10">
        <v>976</v>
      </c>
      <c r="L268" s="9">
        <f>HOUR([1]restaurant_sales_1200!$B268)</f>
        <v>18</v>
      </c>
      <c r="M268" s="9" t="str">
        <f t="shared" si="1"/>
        <v>Saturday</v>
      </c>
    </row>
    <row r="269" spans="1:13" x14ac:dyDescent="0.25">
      <c r="A269" s="6">
        <v>1268</v>
      </c>
      <c r="B269" s="7">
        <v>45008.057547951386</v>
      </c>
      <c r="C269" s="7">
        <v>45008.057547951386</v>
      </c>
      <c r="D269" s="8">
        <v>45008.057547951386</v>
      </c>
      <c r="E269" s="9" t="s">
        <v>136</v>
      </c>
      <c r="F269" s="9" t="s">
        <v>1</v>
      </c>
      <c r="G269" s="9" t="s">
        <v>15</v>
      </c>
      <c r="H269" s="9" t="s">
        <v>47</v>
      </c>
      <c r="I269" s="9">
        <v>1</v>
      </c>
      <c r="J269" s="9">
        <v>315</v>
      </c>
      <c r="K269" s="10">
        <v>315</v>
      </c>
      <c r="L269" s="9">
        <f>HOUR([1]restaurant_sales_1200!$B269)</f>
        <v>1</v>
      </c>
      <c r="M269" s="9" t="str">
        <f t="shared" si="1"/>
        <v>Sunday</v>
      </c>
    </row>
    <row r="270" spans="1:13" x14ac:dyDescent="0.25">
      <c r="A270" s="6">
        <v>1269</v>
      </c>
      <c r="B270" s="7">
        <v>45008.361134282408</v>
      </c>
      <c r="C270" s="7">
        <v>45008.361134282408</v>
      </c>
      <c r="D270" s="8">
        <v>45008.361134282408</v>
      </c>
      <c r="E270" s="9" t="s">
        <v>179</v>
      </c>
      <c r="F270" s="9" t="s">
        <v>8</v>
      </c>
      <c r="G270" s="9" t="s">
        <v>30</v>
      </c>
      <c r="H270" s="9" t="s">
        <v>13</v>
      </c>
      <c r="I270" s="9">
        <v>5</v>
      </c>
      <c r="J270" s="9">
        <v>102</v>
      </c>
      <c r="K270" s="10">
        <v>510</v>
      </c>
      <c r="L270" s="9">
        <f>HOUR([1]restaurant_sales_1200!$B270)</f>
        <v>8</v>
      </c>
      <c r="M270" s="9" t="str">
        <f t="shared" si="1"/>
        <v>Monday</v>
      </c>
    </row>
    <row r="271" spans="1:13" x14ac:dyDescent="0.25">
      <c r="A271" s="6">
        <v>1270</v>
      </c>
      <c r="B271" s="7">
        <v>45008.664720601853</v>
      </c>
      <c r="C271" s="7">
        <v>45008.664720601853</v>
      </c>
      <c r="D271" s="8">
        <v>45008.664720601853</v>
      </c>
      <c r="E271" s="9" t="s">
        <v>98</v>
      </c>
      <c r="F271" s="9" t="s">
        <v>19</v>
      </c>
      <c r="G271" s="9" t="s">
        <v>9</v>
      </c>
      <c r="H271" s="9" t="s">
        <v>13</v>
      </c>
      <c r="I271" s="9">
        <v>4</v>
      </c>
      <c r="J271" s="9">
        <v>259</v>
      </c>
      <c r="K271" s="10">
        <v>1036</v>
      </c>
      <c r="L271" s="9">
        <f>HOUR([1]restaurant_sales_1200!$B271)</f>
        <v>15</v>
      </c>
      <c r="M271" s="9" t="str">
        <f t="shared" si="1"/>
        <v>Tuesday</v>
      </c>
    </row>
    <row r="272" spans="1:13" x14ac:dyDescent="0.25">
      <c r="A272" s="6">
        <v>1271</v>
      </c>
      <c r="B272" s="7">
        <v>45008.968306921299</v>
      </c>
      <c r="C272" s="7">
        <v>45008.968306921299</v>
      </c>
      <c r="D272" s="8">
        <v>45008.968306921299</v>
      </c>
      <c r="E272" s="9" t="s">
        <v>191</v>
      </c>
      <c r="F272" s="9" t="s">
        <v>1</v>
      </c>
      <c r="G272" s="9" t="s">
        <v>2</v>
      </c>
      <c r="H272" s="9" t="s">
        <v>16</v>
      </c>
      <c r="I272" s="9">
        <v>3</v>
      </c>
      <c r="J272" s="9">
        <v>838</v>
      </c>
      <c r="K272" s="10">
        <v>2514</v>
      </c>
      <c r="L272" s="9">
        <f>HOUR([1]restaurant_sales_1200!$B272)</f>
        <v>23</v>
      </c>
      <c r="M272" s="9" t="str">
        <f t="shared" si="1"/>
        <v>Wednesday</v>
      </c>
    </row>
    <row r="273" spans="1:13" x14ac:dyDescent="0.25">
      <c r="A273" s="6">
        <v>1272</v>
      </c>
      <c r="B273" s="7">
        <v>45009.271893240744</v>
      </c>
      <c r="C273" s="7">
        <v>45009.271893240744</v>
      </c>
      <c r="D273" s="8">
        <v>45009.271893240744</v>
      </c>
      <c r="E273" s="9" t="s">
        <v>192</v>
      </c>
      <c r="F273" s="9" t="s">
        <v>19</v>
      </c>
      <c r="G273" s="9" t="s">
        <v>30</v>
      </c>
      <c r="H273" s="9" t="s">
        <v>26</v>
      </c>
      <c r="I273" s="9">
        <v>1</v>
      </c>
      <c r="J273" s="9">
        <v>880</v>
      </c>
      <c r="K273" s="10">
        <v>880</v>
      </c>
      <c r="L273" s="9">
        <f>HOUR([1]restaurant_sales_1200!$B273)</f>
        <v>6</v>
      </c>
      <c r="M273" s="9" t="str">
        <f t="shared" si="1"/>
        <v>Thursday</v>
      </c>
    </row>
    <row r="274" spans="1:13" x14ac:dyDescent="0.25">
      <c r="A274" s="6">
        <v>1273</v>
      </c>
      <c r="B274" s="7">
        <v>45009.575479571758</v>
      </c>
      <c r="C274" s="7">
        <v>45009.575479571758</v>
      </c>
      <c r="D274" s="8">
        <v>45009.575479571758</v>
      </c>
      <c r="E274" s="9" t="s">
        <v>129</v>
      </c>
      <c r="F274" s="9" t="s">
        <v>19</v>
      </c>
      <c r="G274" s="9" t="s">
        <v>6</v>
      </c>
      <c r="H274" s="9" t="s">
        <v>3</v>
      </c>
      <c r="I274" s="9">
        <v>1</v>
      </c>
      <c r="J274" s="9">
        <v>219</v>
      </c>
      <c r="K274" s="10">
        <v>219</v>
      </c>
      <c r="L274" s="9">
        <f>HOUR([1]restaurant_sales_1200!$B274)</f>
        <v>13</v>
      </c>
      <c r="M274" s="9" t="str">
        <f t="shared" si="1"/>
        <v>Friday</v>
      </c>
    </row>
    <row r="275" spans="1:13" x14ac:dyDescent="0.25">
      <c r="A275" s="6">
        <v>1274</v>
      </c>
      <c r="B275" s="7">
        <v>45009.879065891204</v>
      </c>
      <c r="C275" s="7">
        <v>45009.879065891204</v>
      </c>
      <c r="D275" s="8">
        <v>45009.879065891204</v>
      </c>
      <c r="E275" s="9" t="s">
        <v>119</v>
      </c>
      <c r="F275" s="9" t="s">
        <v>5</v>
      </c>
      <c r="G275" s="9" t="s">
        <v>2</v>
      </c>
      <c r="H275" s="9" t="s">
        <v>31</v>
      </c>
      <c r="I275" s="9">
        <v>4</v>
      </c>
      <c r="J275" s="9">
        <v>992</v>
      </c>
      <c r="K275" s="10">
        <v>3968</v>
      </c>
      <c r="L275" s="9">
        <f>HOUR([1]restaurant_sales_1200!$B275)</f>
        <v>21</v>
      </c>
      <c r="M275" s="9" t="str">
        <f t="shared" si="1"/>
        <v>Saturday</v>
      </c>
    </row>
    <row r="276" spans="1:13" x14ac:dyDescent="0.25">
      <c r="A276" s="6">
        <v>1275</v>
      </c>
      <c r="B276" s="7">
        <v>45010.182652210649</v>
      </c>
      <c r="C276" s="7">
        <v>45010.182652210649</v>
      </c>
      <c r="D276" s="8">
        <v>45010.182652210649</v>
      </c>
      <c r="E276" s="9" t="s">
        <v>136</v>
      </c>
      <c r="F276" s="9" t="s">
        <v>5</v>
      </c>
      <c r="G276" s="9" t="s">
        <v>9</v>
      </c>
      <c r="H276" s="9" t="s">
        <v>13</v>
      </c>
      <c r="I276" s="9">
        <v>3</v>
      </c>
      <c r="J276" s="9">
        <v>188</v>
      </c>
      <c r="K276" s="10">
        <v>564</v>
      </c>
      <c r="L276" s="9">
        <f>HOUR([1]restaurant_sales_1200!$B276)</f>
        <v>4</v>
      </c>
      <c r="M276" s="9" t="str">
        <f t="shared" si="1"/>
        <v>Sunday</v>
      </c>
    </row>
    <row r="277" spans="1:13" x14ac:dyDescent="0.25">
      <c r="A277" s="6">
        <v>1276</v>
      </c>
      <c r="B277" s="7">
        <v>45010.486238530095</v>
      </c>
      <c r="C277" s="7">
        <v>45010.486238530095</v>
      </c>
      <c r="D277" s="8">
        <v>45010.486238530095</v>
      </c>
      <c r="E277" s="9" t="s">
        <v>103</v>
      </c>
      <c r="F277" s="9" t="s">
        <v>19</v>
      </c>
      <c r="G277" s="9" t="s">
        <v>6</v>
      </c>
      <c r="H277" s="9" t="s">
        <v>13</v>
      </c>
      <c r="I277" s="9">
        <v>3</v>
      </c>
      <c r="J277" s="9">
        <v>428</v>
      </c>
      <c r="K277" s="10">
        <v>1284</v>
      </c>
      <c r="L277" s="9">
        <f>HOUR([1]restaurant_sales_1200!$B277)</f>
        <v>11</v>
      </c>
      <c r="M277" s="9" t="str">
        <f t="shared" si="1"/>
        <v>Monday</v>
      </c>
    </row>
    <row r="278" spans="1:13" x14ac:dyDescent="0.25">
      <c r="A278" s="6">
        <v>1277</v>
      </c>
      <c r="B278" s="7">
        <v>45010.78982484954</v>
      </c>
      <c r="C278" s="7">
        <v>45010.78982484954</v>
      </c>
      <c r="D278" s="8">
        <v>45010.78982484954</v>
      </c>
      <c r="E278" s="9" t="s">
        <v>193</v>
      </c>
      <c r="F278" s="9" t="s">
        <v>8</v>
      </c>
      <c r="G278" s="9" t="s">
        <v>15</v>
      </c>
      <c r="H278" s="9" t="s">
        <v>47</v>
      </c>
      <c r="I278" s="9">
        <v>5</v>
      </c>
      <c r="J278" s="9">
        <v>679</v>
      </c>
      <c r="K278" s="10">
        <v>3395</v>
      </c>
      <c r="L278" s="9">
        <f>HOUR([1]restaurant_sales_1200!$B278)</f>
        <v>18</v>
      </c>
      <c r="M278" s="9" t="str">
        <f t="shared" si="1"/>
        <v>Tuesday</v>
      </c>
    </row>
    <row r="279" spans="1:13" x14ac:dyDescent="0.25">
      <c r="A279" s="6">
        <v>1278</v>
      </c>
      <c r="B279" s="7">
        <v>45011.093411180555</v>
      </c>
      <c r="C279" s="7">
        <v>45011.093411180555</v>
      </c>
      <c r="D279" s="8">
        <v>45011.093411180555</v>
      </c>
      <c r="E279" s="9" t="s">
        <v>194</v>
      </c>
      <c r="F279" s="9" t="s">
        <v>5</v>
      </c>
      <c r="G279" s="9" t="s">
        <v>9</v>
      </c>
      <c r="H279" s="9" t="s">
        <v>31</v>
      </c>
      <c r="I279" s="9">
        <v>3</v>
      </c>
      <c r="J279" s="9">
        <v>456</v>
      </c>
      <c r="K279" s="10">
        <v>1368</v>
      </c>
      <c r="L279" s="9">
        <f>HOUR([1]restaurant_sales_1200!$B279)</f>
        <v>2</v>
      </c>
      <c r="M279" s="9" t="str">
        <f t="shared" si="1"/>
        <v>Wednesday</v>
      </c>
    </row>
    <row r="280" spans="1:13" x14ac:dyDescent="0.25">
      <c r="A280" s="6">
        <v>1279</v>
      </c>
      <c r="B280" s="7">
        <v>45011.3969975</v>
      </c>
      <c r="C280" s="7">
        <v>45011.3969975</v>
      </c>
      <c r="D280" s="8">
        <v>45011.3969975</v>
      </c>
      <c r="E280" s="9" t="s">
        <v>64</v>
      </c>
      <c r="F280" s="9" t="s">
        <v>5</v>
      </c>
      <c r="G280" s="9" t="s">
        <v>2</v>
      </c>
      <c r="H280" s="9" t="s">
        <v>10</v>
      </c>
      <c r="I280" s="9">
        <v>3</v>
      </c>
      <c r="J280" s="9">
        <v>709</v>
      </c>
      <c r="K280" s="10">
        <v>2127</v>
      </c>
      <c r="L280" s="9">
        <f>HOUR([1]restaurant_sales_1200!$B280)</f>
        <v>9</v>
      </c>
      <c r="M280" s="9" t="str">
        <f t="shared" si="1"/>
        <v>Thursday</v>
      </c>
    </row>
    <row r="281" spans="1:13" x14ac:dyDescent="0.25">
      <c r="A281" s="6">
        <v>1280</v>
      </c>
      <c r="B281" s="7">
        <v>45011.700583819445</v>
      </c>
      <c r="C281" s="7">
        <v>45011.700583819445</v>
      </c>
      <c r="D281" s="8">
        <v>45011.700583819445</v>
      </c>
      <c r="E281" s="9" t="s">
        <v>156</v>
      </c>
      <c r="F281" s="9" t="s">
        <v>5</v>
      </c>
      <c r="G281" s="9" t="s">
        <v>15</v>
      </c>
      <c r="H281" s="9" t="s">
        <v>10</v>
      </c>
      <c r="I281" s="9">
        <v>3</v>
      </c>
      <c r="J281" s="9">
        <v>366</v>
      </c>
      <c r="K281" s="10">
        <v>1098</v>
      </c>
      <c r="L281" s="9">
        <f>HOUR([1]restaurant_sales_1200!$B281)</f>
        <v>16</v>
      </c>
      <c r="M281" s="9" t="str">
        <f t="shared" si="1"/>
        <v>Friday</v>
      </c>
    </row>
    <row r="282" spans="1:13" x14ac:dyDescent="0.25">
      <c r="A282" s="6">
        <v>1281</v>
      </c>
      <c r="B282" s="7">
        <v>45012.004170138891</v>
      </c>
      <c r="C282" s="7">
        <v>45012.004170138891</v>
      </c>
      <c r="D282" s="8">
        <v>45012.004170138891</v>
      </c>
      <c r="E282" s="9" t="s">
        <v>195</v>
      </c>
      <c r="F282" s="9" t="s">
        <v>5</v>
      </c>
      <c r="G282" s="9" t="s">
        <v>15</v>
      </c>
      <c r="H282" s="9" t="s">
        <v>16</v>
      </c>
      <c r="I282" s="9">
        <v>2</v>
      </c>
      <c r="J282" s="9">
        <v>716</v>
      </c>
      <c r="K282" s="10">
        <v>1432</v>
      </c>
      <c r="L282" s="9">
        <f>HOUR([1]restaurant_sales_1200!$B282)</f>
        <v>0</v>
      </c>
      <c r="M282" s="9" t="str">
        <f t="shared" si="1"/>
        <v>Saturday</v>
      </c>
    </row>
    <row r="283" spans="1:13" x14ac:dyDescent="0.25">
      <c r="A283" s="6">
        <v>1282</v>
      </c>
      <c r="B283" s="7">
        <v>45012.307756458336</v>
      </c>
      <c r="C283" s="7">
        <v>45012.307756458336</v>
      </c>
      <c r="D283" s="8">
        <v>45012.307756458336</v>
      </c>
      <c r="E283" s="9" t="s">
        <v>173</v>
      </c>
      <c r="F283" s="9" t="s">
        <v>1</v>
      </c>
      <c r="G283" s="9" t="s">
        <v>9</v>
      </c>
      <c r="H283" s="9" t="s">
        <v>3</v>
      </c>
      <c r="I283" s="9">
        <v>5</v>
      </c>
      <c r="J283" s="9">
        <v>422</v>
      </c>
      <c r="K283" s="10">
        <v>2110</v>
      </c>
      <c r="L283" s="9">
        <f>HOUR([1]restaurant_sales_1200!$B283)</f>
        <v>7</v>
      </c>
      <c r="M283" s="9" t="str">
        <f t="shared" si="1"/>
        <v>Sunday</v>
      </c>
    </row>
    <row r="284" spans="1:13" x14ac:dyDescent="0.25">
      <c r="A284" s="6">
        <v>1283</v>
      </c>
      <c r="B284" s="7">
        <v>45012.611342789351</v>
      </c>
      <c r="C284" s="7">
        <v>45012.611342789351</v>
      </c>
      <c r="D284" s="8">
        <v>45012.611342789351</v>
      </c>
      <c r="E284" s="9" t="s">
        <v>151</v>
      </c>
      <c r="F284" s="9" t="s">
        <v>19</v>
      </c>
      <c r="G284" s="9" t="s">
        <v>2</v>
      </c>
      <c r="H284" s="9" t="s">
        <v>10</v>
      </c>
      <c r="I284" s="9">
        <v>1</v>
      </c>
      <c r="J284" s="9">
        <v>734</v>
      </c>
      <c r="K284" s="10">
        <v>734</v>
      </c>
      <c r="L284" s="9">
        <f>HOUR([1]restaurant_sales_1200!$B284)</f>
        <v>14</v>
      </c>
      <c r="M284" s="9" t="str">
        <f t="shared" si="1"/>
        <v>Monday</v>
      </c>
    </row>
    <row r="285" spans="1:13" x14ac:dyDescent="0.25">
      <c r="A285" s="6">
        <v>1284</v>
      </c>
      <c r="B285" s="7">
        <v>45012.914929108796</v>
      </c>
      <c r="C285" s="7">
        <v>45012.914929108796</v>
      </c>
      <c r="D285" s="8">
        <v>45012.914929108796</v>
      </c>
      <c r="E285" s="9" t="s">
        <v>196</v>
      </c>
      <c r="F285" s="9" t="s">
        <v>1</v>
      </c>
      <c r="G285" s="9" t="s">
        <v>9</v>
      </c>
      <c r="H285" s="9" t="s">
        <v>16</v>
      </c>
      <c r="I285" s="9">
        <v>4</v>
      </c>
      <c r="J285" s="9">
        <v>640</v>
      </c>
      <c r="K285" s="10">
        <v>2560</v>
      </c>
      <c r="L285" s="9">
        <f>HOUR([1]restaurant_sales_1200!$B285)</f>
        <v>21</v>
      </c>
      <c r="M285" s="9" t="str">
        <f t="shared" si="1"/>
        <v>Tuesday</v>
      </c>
    </row>
    <row r="286" spans="1:13" x14ac:dyDescent="0.25">
      <c r="A286" s="6">
        <v>1285</v>
      </c>
      <c r="B286" s="7">
        <v>45013.218515428242</v>
      </c>
      <c r="C286" s="7">
        <v>45013.218515428242</v>
      </c>
      <c r="D286" s="8">
        <v>45013.218515428242</v>
      </c>
      <c r="E286" s="9" t="s">
        <v>95</v>
      </c>
      <c r="F286" s="9" t="s">
        <v>1</v>
      </c>
      <c r="G286" s="9" t="s">
        <v>6</v>
      </c>
      <c r="H286" s="9" t="s">
        <v>10</v>
      </c>
      <c r="I286" s="9">
        <v>1</v>
      </c>
      <c r="J286" s="9">
        <v>748</v>
      </c>
      <c r="K286" s="10">
        <v>748</v>
      </c>
      <c r="L286" s="9">
        <f>HOUR([1]restaurant_sales_1200!$B286)</f>
        <v>5</v>
      </c>
      <c r="M286" s="9" t="str">
        <f t="shared" si="1"/>
        <v>Wednesday</v>
      </c>
    </row>
    <row r="287" spans="1:13" x14ac:dyDescent="0.25">
      <c r="A287" s="6">
        <v>1286</v>
      </c>
      <c r="B287" s="7">
        <v>45013.522101747687</v>
      </c>
      <c r="C287" s="7">
        <v>45013.522101747687</v>
      </c>
      <c r="D287" s="8">
        <v>45013.522101747687</v>
      </c>
      <c r="E287" s="9" t="s">
        <v>188</v>
      </c>
      <c r="F287" s="9" t="s">
        <v>19</v>
      </c>
      <c r="G287" s="9" t="s">
        <v>6</v>
      </c>
      <c r="H287" s="9" t="s">
        <v>47</v>
      </c>
      <c r="I287" s="9">
        <v>5</v>
      </c>
      <c r="J287" s="9">
        <v>294</v>
      </c>
      <c r="K287" s="10">
        <v>1470</v>
      </c>
      <c r="L287" s="9">
        <f>HOUR([1]restaurant_sales_1200!$B287)</f>
        <v>12</v>
      </c>
      <c r="M287" s="9" t="str">
        <f t="shared" si="1"/>
        <v>Thursday</v>
      </c>
    </row>
    <row r="288" spans="1:13" x14ac:dyDescent="0.25">
      <c r="A288" s="6">
        <v>1287</v>
      </c>
      <c r="B288" s="7">
        <v>45013.825688078701</v>
      </c>
      <c r="C288" s="7">
        <v>45013.825688078701</v>
      </c>
      <c r="D288" s="8">
        <v>45013.825688078701</v>
      </c>
      <c r="E288" s="9" t="s">
        <v>197</v>
      </c>
      <c r="F288" s="9" t="s">
        <v>5</v>
      </c>
      <c r="G288" s="9" t="s">
        <v>30</v>
      </c>
      <c r="H288" s="9" t="s">
        <v>31</v>
      </c>
      <c r="I288" s="9">
        <v>4</v>
      </c>
      <c r="J288" s="9">
        <v>837</v>
      </c>
      <c r="K288" s="10">
        <v>3348</v>
      </c>
      <c r="L288" s="9">
        <f>HOUR([1]restaurant_sales_1200!$B288)</f>
        <v>19</v>
      </c>
      <c r="M288" s="9" t="str">
        <f t="shared" si="1"/>
        <v>Friday</v>
      </c>
    </row>
    <row r="289" spans="1:13" x14ac:dyDescent="0.25">
      <c r="A289" s="6">
        <v>1288</v>
      </c>
      <c r="B289" s="7">
        <v>45014.129274398147</v>
      </c>
      <c r="C289" s="7">
        <v>45014.129274398147</v>
      </c>
      <c r="D289" s="8">
        <v>45014.129274398147</v>
      </c>
      <c r="E289" s="9" t="s">
        <v>193</v>
      </c>
      <c r="F289" s="9" t="s">
        <v>8</v>
      </c>
      <c r="G289" s="9" t="s">
        <v>15</v>
      </c>
      <c r="H289" s="9" t="s">
        <v>47</v>
      </c>
      <c r="I289" s="9">
        <v>5</v>
      </c>
      <c r="J289" s="9">
        <v>431</v>
      </c>
      <c r="K289" s="10">
        <v>2155</v>
      </c>
      <c r="L289" s="9">
        <f>HOUR([1]restaurant_sales_1200!$B289)</f>
        <v>3</v>
      </c>
      <c r="M289" s="9" t="str">
        <f t="shared" si="1"/>
        <v>Saturday</v>
      </c>
    </row>
    <row r="290" spans="1:13" x14ac:dyDescent="0.25">
      <c r="A290" s="6">
        <v>1289</v>
      </c>
      <c r="B290" s="7">
        <v>45014.432860717592</v>
      </c>
      <c r="C290" s="7">
        <v>45014.432860717592</v>
      </c>
      <c r="D290" s="8">
        <v>45014.432860717592</v>
      </c>
      <c r="E290" s="9" t="s">
        <v>37</v>
      </c>
      <c r="F290" s="9" t="s">
        <v>5</v>
      </c>
      <c r="G290" s="9" t="s">
        <v>30</v>
      </c>
      <c r="H290" s="9" t="s">
        <v>33</v>
      </c>
      <c r="I290" s="9">
        <v>3</v>
      </c>
      <c r="J290" s="9">
        <v>269</v>
      </c>
      <c r="K290" s="10">
        <v>807</v>
      </c>
      <c r="L290" s="9">
        <f>HOUR([1]restaurant_sales_1200!$B290)</f>
        <v>10</v>
      </c>
      <c r="M290" s="9" t="str">
        <f t="shared" si="1"/>
        <v>Sunday</v>
      </c>
    </row>
    <row r="291" spans="1:13" x14ac:dyDescent="0.25">
      <c r="A291" s="6">
        <v>1290</v>
      </c>
      <c r="B291" s="7">
        <v>45014.736447037038</v>
      </c>
      <c r="C291" s="7">
        <v>45014.736447037038</v>
      </c>
      <c r="D291" s="8">
        <v>45014.736447037038</v>
      </c>
      <c r="E291" s="9" t="s">
        <v>100</v>
      </c>
      <c r="F291" s="9" t="s">
        <v>5</v>
      </c>
      <c r="G291" s="9" t="s">
        <v>2</v>
      </c>
      <c r="H291" s="9" t="s">
        <v>47</v>
      </c>
      <c r="I291" s="9">
        <v>4</v>
      </c>
      <c r="J291" s="9">
        <v>620</v>
      </c>
      <c r="K291" s="10">
        <v>2480</v>
      </c>
      <c r="L291" s="9">
        <f>HOUR([1]restaurant_sales_1200!$B291)</f>
        <v>17</v>
      </c>
      <c r="M291" s="9" t="str">
        <f t="shared" si="1"/>
        <v>Monday</v>
      </c>
    </row>
    <row r="292" spans="1:13" x14ac:dyDescent="0.25">
      <c r="A292" s="6">
        <v>1291</v>
      </c>
      <c r="B292" s="7">
        <v>45015.040033356483</v>
      </c>
      <c r="C292" s="7">
        <v>45015.040033356483</v>
      </c>
      <c r="D292" s="8">
        <v>45015.040033356483</v>
      </c>
      <c r="E292" s="9" t="s">
        <v>198</v>
      </c>
      <c r="F292" s="9" t="s">
        <v>5</v>
      </c>
      <c r="G292" s="9" t="s">
        <v>6</v>
      </c>
      <c r="H292" s="9" t="s">
        <v>31</v>
      </c>
      <c r="I292" s="9">
        <v>3</v>
      </c>
      <c r="J292" s="9">
        <v>562</v>
      </c>
      <c r="K292" s="10">
        <v>1686</v>
      </c>
      <c r="L292" s="9">
        <f>HOUR([1]restaurant_sales_1200!$B292)</f>
        <v>0</v>
      </c>
      <c r="M292" s="9" t="str">
        <f t="shared" si="1"/>
        <v>Tuesday</v>
      </c>
    </row>
    <row r="293" spans="1:13" x14ac:dyDescent="0.25">
      <c r="A293" s="6">
        <v>1292</v>
      </c>
      <c r="B293" s="7">
        <v>45015.343619687497</v>
      </c>
      <c r="C293" s="7">
        <v>45015.343619687497</v>
      </c>
      <c r="D293" s="8">
        <v>45015.343619687497</v>
      </c>
      <c r="E293" s="9" t="s">
        <v>199</v>
      </c>
      <c r="F293" s="9" t="s">
        <v>5</v>
      </c>
      <c r="G293" s="9" t="s">
        <v>30</v>
      </c>
      <c r="H293" s="9" t="s">
        <v>10</v>
      </c>
      <c r="I293" s="9">
        <v>1</v>
      </c>
      <c r="J293" s="9">
        <v>139</v>
      </c>
      <c r="K293" s="10">
        <v>139</v>
      </c>
      <c r="L293" s="9">
        <f>HOUR([1]restaurant_sales_1200!$B293)</f>
        <v>8</v>
      </c>
      <c r="M293" s="9" t="str">
        <f t="shared" si="1"/>
        <v>Wednesday</v>
      </c>
    </row>
    <row r="294" spans="1:13" x14ac:dyDescent="0.25">
      <c r="A294" s="6">
        <v>1293</v>
      </c>
      <c r="B294" s="7">
        <v>45015.647206006943</v>
      </c>
      <c r="C294" s="7">
        <v>45015.647206006943</v>
      </c>
      <c r="D294" s="8">
        <v>45015.647206006943</v>
      </c>
      <c r="E294" s="9" t="s">
        <v>85</v>
      </c>
      <c r="F294" s="9" t="s">
        <v>8</v>
      </c>
      <c r="G294" s="9" t="s">
        <v>6</v>
      </c>
      <c r="H294" s="9" t="s">
        <v>26</v>
      </c>
      <c r="I294" s="9">
        <v>1</v>
      </c>
      <c r="J294" s="9">
        <v>636</v>
      </c>
      <c r="K294" s="10">
        <v>636</v>
      </c>
      <c r="L294" s="9">
        <f>HOUR([1]restaurant_sales_1200!$B294)</f>
        <v>15</v>
      </c>
      <c r="M294" s="9" t="str">
        <f t="shared" si="1"/>
        <v>Thursday</v>
      </c>
    </row>
    <row r="295" spans="1:13" x14ac:dyDescent="0.25">
      <c r="A295" s="6">
        <v>1294</v>
      </c>
      <c r="B295" s="7">
        <v>45015.950792326388</v>
      </c>
      <c r="C295" s="7">
        <v>45015.950792326388</v>
      </c>
      <c r="D295" s="8">
        <v>45015.950792326388</v>
      </c>
      <c r="E295" s="9" t="s">
        <v>200</v>
      </c>
      <c r="F295" s="9" t="s">
        <v>1</v>
      </c>
      <c r="G295" s="9" t="s">
        <v>6</v>
      </c>
      <c r="H295" s="9" t="s">
        <v>16</v>
      </c>
      <c r="I295" s="9">
        <v>4</v>
      </c>
      <c r="J295" s="9">
        <v>360</v>
      </c>
      <c r="K295" s="10">
        <v>1440</v>
      </c>
      <c r="L295" s="9">
        <f>HOUR([1]restaurant_sales_1200!$B295)</f>
        <v>22</v>
      </c>
      <c r="M295" s="9" t="str">
        <f t="shared" si="1"/>
        <v>Friday</v>
      </c>
    </row>
    <row r="296" spans="1:13" x14ac:dyDescent="0.25">
      <c r="A296" s="6">
        <v>1295</v>
      </c>
      <c r="B296" s="7">
        <v>45016.254378645834</v>
      </c>
      <c r="C296" s="7">
        <v>45016.254378645834</v>
      </c>
      <c r="D296" s="8">
        <v>45016.254378645834</v>
      </c>
      <c r="E296" s="9" t="s">
        <v>201</v>
      </c>
      <c r="F296" s="9" t="s">
        <v>8</v>
      </c>
      <c r="G296" s="9" t="s">
        <v>6</v>
      </c>
      <c r="H296" s="9" t="s">
        <v>26</v>
      </c>
      <c r="I296" s="9">
        <v>4</v>
      </c>
      <c r="J296" s="9">
        <v>494</v>
      </c>
      <c r="K296" s="10">
        <v>1976</v>
      </c>
      <c r="L296" s="9">
        <f>HOUR([1]restaurant_sales_1200!$B296)</f>
        <v>6</v>
      </c>
      <c r="M296" s="9" t="str">
        <f t="shared" si="1"/>
        <v>Saturday</v>
      </c>
    </row>
    <row r="297" spans="1:13" x14ac:dyDescent="0.25">
      <c r="A297" s="6">
        <v>1296</v>
      </c>
      <c r="B297" s="7">
        <v>45016.557964965279</v>
      </c>
      <c r="C297" s="7">
        <v>45016.557964965279</v>
      </c>
      <c r="D297" s="8">
        <v>45016.557964965279</v>
      </c>
      <c r="E297" s="9" t="s">
        <v>190</v>
      </c>
      <c r="F297" s="9" t="s">
        <v>19</v>
      </c>
      <c r="G297" s="9" t="s">
        <v>9</v>
      </c>
      <c r="H297" s="9" t="s">
        <v>16</v>
      </c>
      <c r="I297" s="9">
        <v>5</v>
      </c>
      <c r="J297" s="9">
        <v>325</v>
      </c>
      <c r="K297" s="10">
        <v>1625</v>
      </c>
      <c r="L297" s="9">
        <f>HOUR([1]restaurant_sales_1200!$B297)</f>
        <v>13</v>
      </c>
      <c r="M297" s="9" t="str">
        <f t="shared" si="1"/>
        <v>Sunday</v>
      </c>
    </row>
    <row r="298" spans="1:13" x14ac:dyDescent="0.25">
      <c r="A298" s="6">
        <v>1297</v>
      </c>
      <c r="B298" s="7">
        <v>45016.861551296293</v>
      </c>
      <c r="C298" s="7">
        <v>45016.861551296293</v>
      </c>
      <c r="D298" s="8">
        <v>45016.861551296293</v>
      </c>
      <c r="E298" s="9" t="s">
        <v>135</v>
      </c>
      <c r="F298" s="9" t="s">
        <v>5</v>
      </c>
      <c r="G298" s="9" t="s">
        <v>30</v>
      </c>
      <c r="H298" s="9" t="s">
        <v>47</v>
      </c>
      <c r="I298" s="9">
        <v>5</v>
      </c>
      <c r="J298" s="9">
        <v>223</v>
      </c>
      <c r="K298" s="10">
        <v>1115</v>
      </c>
      <c r="L298" s="9">
        <f>HOUR([1]restaurant_sales_1200!$B298)</f>
        <v>20</v>
      </c>
      <c r="M298" s="9" t="str">
        <f t="shared" si="1"/>
        <v>Monday</v>
      </c>
    </row>
    <row r="299" spans="1:13" x14ac:dyDescent="0.25">
      <c r="A299" s="6">
        <v>1298</v>
      </c>
      <c r="B299" s="7">
        <v>45017.165137615739</v>
      </c>
      <c r="C299" s="7">
        <v>45017.165137615739</v>
      </c>
      <c r="D299" s="8">
        <v>45017.165137615739</v>
      </c>
      <c r="E299" s="9" t="s">
        <v>52</v>
      </c>
      <c r="F299" s="9" t="s">
        <v>8</v>
      </c>
      <c r="G299" s="9" t="s">
        <v>15</v>
      </c>
      <c r="H299" s="9" t="s">
        <v>26</v>
      </c>
      <c r="I299" s="9">
        <v>3</v>
      </c>
      <c r="J299" s="9">
        <v>137</v>
      </c>
      <c r="K299" s="10">
        <v>411</v>
      </c>
      <c r="L299" s="9">
        <f>HOUR([1]restaurant_sales_1200!$B299)</f>
        <v>3</v>
      </c>
      <c r="M299" s="9" t="str">
        <f t="shared" si="1"/>
        <v>Tuesday</v>
      </c>
    </row>
    <row r="300" spans="1:13" x14ac:dyDescent="0.25">
      <c r="A300" s="6">
        <v>1299</v>
      </c>
      <c r="B300" s="7">
        <v>45017.468723935184</v>
      </c>
      <c r="C300" s="7">
        <v>45017.468723935184</v>
      </c>
      <c r="D300" s="8">
        <v>45017.468723935184</v>
      </c>
      <c r="E300" s="9" t="s">
        <v>92</v>
      </c>
      <c r="F300" s="9" t="s">
        <v>19</v>
      </c>
      <c r="G300" s="9" t="s">
        <v>30</v>
      </c>
      <c r="H300" s="9" t="s">
        <v>10</v>
      </c>
      <c r="I300" s="9">
        <v>4</v>
      </c>
      <c r="J300" s="9">
        <v>427</v>
      </c>
      <c r="K300" s="10">
        <v>1708</v>
      </c>
      <c r="L300" s="9">
        <f>HOUR([1]restaurant_sales_1200!$B300)</f>
        <v>11</v>
      </c>
      <c r="M300" s="9" t="str">
        <f t="shared" si="1"/>
        <v>Wednesday</v>
      </c>
    </row>
    <row r="301" spans="1:13" x14ac:dyDescent="0.25">
      <c r="A301" s="6">
        <v>1300</v>
      </c>
      <c r="B301" s="7">
        <v>45017.77231025463</v>
      </c>
      <c r="C301" s="7">
        <v>45017.77231025463</v>
      </c>
      <c r="D301" s="8">
        <v>45017.77231025463</v>
      </c>
      <c r="E301" s="9" t="s">
        <v>161</v>
      </c>
      <c r="F301" s="9" t="s">
        <v>8</v>
      </c>
      <c r="G301" s="9" t="s">
        <v>15</v>
      </c>
      <c r="H301" s="9" t="s">
        <v>13</v>
      </c>
      <c r="I301" s="9">
        <v>1</v>
      </c>
      <c r="J301" s="9">
        <v>350</v>
      </c>
      <c r="K301" s="10">
        <v>350</v>
      </c>
      <c r="L301" s="9">
        <f>HOUR([1]restaurant_sales_1200!$B301)</f>
        <v>18</v>
      </c>
      <c r="M301" s="9" t="str">
        <f t="shared" si="1"/>
        <v>Thursday</v>
      </c>
    </row>
    <row r="302" spans="1:13" x14ac:dyDescent="0.25">
      <c r="A302" s="6">
        <v>1301</v>
      </c>
      <c r="B302" s="7">
        <v>45018.075896585651</v>
      </c>
      <c r="C302" s="7">
        <v>45018.075896585651</v>
      </c>
      <c r="D302" s="8">
        <v>45018.075896585651</v>
      </c>
      <c r="E302" s="9" t="s">
        <v>202</v>
      </c>
      <c r="F302" s="9" t="s">
        <v>5</v>
      </c>
      <c r="G302" s="9" t="s">
        <v>30</v>
      </c>
      <c r="H302" s="9" t="s">
        <v>26</v>
      </c>
      <c r="I302" s="9">
        <v>5</v>
      </c>
      <c r="J302" s="9">
        <v>275</v>
      </c>
      <c r="K302" s="10">
        <v>1375</v>
      </c>
      <c r="L302" s="9">
        <f>HOUR([1]restaurant_sales_1200!$B302)</f>
        <v>1</v>
      </c>
      <c r="M302" s="9" t="str">
        <f t="shared" si="1"/>
        <v>Friday</v>
      </c>
    </row>
    <row r="303" spans="1:13" x14ac:dyDescent="0.25">
      <c r="A303" s="6">
        <v>1302</v>
      </c>
      <c r="B303" s="7">
        <v>45018.379482905089</v>
      </c>
      <c r="C303" s="7">
        <v>45018.379482905089</v>
      </c>
      <c r="D303" s="8">
        <v>45018.379482905089</v>
      </c>
      <c r="E303" s="9" t="s">
        <v>93</v>
      </c>
      <c r="F303" s="9" t="s">
        <v>5</v>
      </c>
      <c r="G303" s="9" t="s">
        <v>30</v>
      </c>
      <c r="H303" s="9" t="s">
        <v>33</v>
      </c>
      <c r="I303" s="9">
        <v>5</v>
      </c>
      <c r="J303" s="9">
        <v>701</v>
      </c>
      <c r="K303" s="10">
        <v>3505</v>
      </c>
      <c r="L303" s="9">
        <f>HOUR([1]restaurant_sales_1200!$B303)</f>
        <v>9</v>
      </c>
      <c r="M303" s="9" t="str">
        <f t="shared" si="1"/>
        <v>Saturday</v>
      </c>
    </row>
    <row r="304" spans="1:13" x14ac:dyDescent="0.25">
      <c r="A304" s="6">
        <v>1303</v>
      </c>
      <c r="B304" s="7">
        <v>45018.683069224535</v>
      </c>
      <c r="C304" s="7">
        <v>45018.683069224535</v>
      </c>
      <c r="D304" s="8">
        <v>45018.683069224535</v>
      </c>
      <c r="E304" s="9" t="s">
        <v>85</v>
      </c>
      <c r="F304" s="9" t="s">
        <v>19</v>
      </c>
      <c r="G304" s="9" t="s">
        <v>6</v>
      </c>
      <c r="H304" s="9" t="s">
        <v>47</v>
      </c>
      <c r="I304" s="9">
        <v>1</v>
      </c>
      <c r="J304" s="9">
        <v>553</v>
      </c>
      <c r="K304" s="10">
        <v>553</v>
      </c>
      <c r="L304" s="9">
        <f>HOUR([1]restaurant_sales_1200!$B304)</f>
        <v>16</v>
      </c>
      <c r="M304" s="9" t="str">
        <f t="shared" si="1"/>
        <v>Sunday</v>
      </c>
    </row>
    <row r="305" spans="1:13" x14ac:dyDescent="0.25">
      <c r="A305" s="6">
        <v>1304</v>
      </c>
      <c r="B305" s="7">
        <v>45018.98665554398</v>
      </c>
      <c r="C305" s="7">
        <v>45018.98665554398</v>
      </c>
      <c r="D305" s="8">
        <v>45018.98665554398</v>
      </c>
      <c r="E305" s="9" t="s">
        <v>203</v>
      </c>
      <c r="F305" s="9" t="s">
        <v>8</v>
      </c>
      <c r="G305" s="9" t="s">
        <v>15</v>
      </c>
      <c r="H305" s="9" t="s">
        <v>16</v>
      </c>
      <c r="I305" s="9">
        <v>5</v>
      </c>
      <c r="J305" s="9">
        <v>136</v>
      </c>
      <c r="K305" s="10">
        <v>680</v>
      </c>
      <c r="L305" s="9">
        <f>HOUR([1]restaurant_sales_1200!$B305)</f>
        <v>23</v>
      </c>
      <c r="M305" s="9" t="str">
        <f t="shared" si="1"/>
        <v>Monday</v>
      </c>
    </row>
    <row r="306" spans="1:13" x14ac:dyDescent="0.25">
      <c r="A306" s="6">
        <v>1305</v>
      </c>
      <c r="B306" s="7">
        <v>45019.290241863426</v>
      </c>
      <c r="C306" s="7">
        <v>45019.290241863426</v>
      </c>
      <c r="D306" s="8">
        <v>45019.290241863426</v>
      </c>
      <c r="E306" s="9" t="s">
        <v>204</v>
      </c>
      <c r="F306" s="9" t="s">
        <v>5</v>
      </c>
      <c r="G306" s="9" t="s">
        <v>15</v>
      </c>
      <c r="H306" s="9" t="s">
        <v>16</v>
      </c>
      <c r="I306" s="9">
        <v>3</v>
      </c>
      <c r="J306" s="9">
        <v>415</v>
      </c>
      <c r="K306" s="10">
        <v>1245</v>
      </c>
      <c r="L306" s="9">
        <f>HOUR([1]restaurant_sales_1200!$B306)</f>
        <v>6</v>
      </c>
      <c r="M306" s="9" t="str">
        <f t="shared" si="1"/>
        <v>Tuesday</v>
      </c>
    </row>
    <row r="307" spans="1:13" x14ac:dyDescent="0.25">
      <c r="A307" s="6">
        <v>1306</v>
      </c>
      <c r="B307" s="7">
        <v>45019.593828194447</v>
      </c>
      <c r="C307" s="7">
        <v>45019.593828194447</v>
      </c>
      <c r="D307" s="8">
        <v>45019.593828194447</v>
      </c>
      <c r="E307" s="9" t="s">
        <v>93</v>
      </c>
      <c r="F307" s="9" t="s">
        <v>19</v>
      </c>
      <c r="G307" s="9" t="s">
        <v>15</v>
      </c>
      <c r="H307" s="9" t="s">
        <v>31</v>
      </c>
      <c r="I307" s="9">
        <v>4</v>
      </c>
      <c r="J307" s="9">
        <v>787</v>
      </c>
      <c r="K307" s="10">
        <v>3148</v>
      </c>
      <c r="L307" s="9">
        <f>HOUR([1]restaurant_sales_1200!$B307)</f>
        <v>14</v>
      </c>
      <c r="M307" s="9" t="str">
        <f t="shared" si="1"/>
        <v>Wednesday</v>
      </c>
    </row>
    <row r="308" spans="1:13" x14ac:dyDescent="0.25">
      <c r="A308" s="6">
        <v>1307</v>
      </c>
      <c r="B308" s="7">
        <v>45019.897414513885</v>
      </c>
      <c r="C308" s="7">
        <v>45019.897414513885</v>
      </c>
      <c r="D308" s="8">
        <v>45019.897414513885</v>
      </c>
      <c r="E308" s="9" t="s">
        <v>205</v>
      </c>
      <c r="F308" s="9" t="s">
        <v>8</v>
      </c>
      <c r="G308" s="9" t="s">
        <v>30</v>
      </c>
      <c r="H308" s="9" t="s">
        <v>10</v>
      </c>
      <c r="I308" s="9">
        <v>1</v>
      </c>
      <c r="J308" s="9">
        <v>895</v>
      </c>
      <c r="K308" s="10">
        <v>895</v>
      </c>
      <c r="L308" s="9">
        <f>HOUR([1]restaurant_sales_1200!$B308)</f>
        <v>21</v>
      </c>
      <c r="M308" s="9" t="str">
        <f t="shared" si="1"/>
        <v>Thursday</v>
      </c>
    </row>
    <row r="309" spans="1:13" x14ac:dyDescent="0.25">
      <c r="A309" s="6">
        <v>1308</v>
      </c>
      <c r="B309" s="7">
        <v>45020.201000833331</v>
      </c>
      <c r="C309" s="7">
        <v>45020.201000833331</v>
      </c>
      <c r="D309" s="8">
        <v>45020.201000833331</v>
      </c>
      <c r="E309" s="9" t="s">
        <v>68</v>
      </c>
      <c r="F309" s="9" t="s">
        <v>8</v>
      </c>
      <c r="G309" s="9" t="s">
        <v>15</v>
      </c>
      <c r="H309" s="9" t="s">
        <v>16</v>
      </c>
      <c r="I309" s="9">
        <v>4</v>
      </c>
      <c r="J309" s="9">
        <v>692</v>
      </c>
      <c r="K309" s="10">
        <v>2768</v>
      </c>
      <c r="L309" s="9">
        <f>HOUR([1]restaurant_sales_1200!$B309)</f>
        <v>4</v>
      </c>
      <c r="M309" s="9" t="str">
        <f t="shared" si="1"/>
        <v>Friday</v>
      </c>
    </row>
    <row r="310" spans="1:13" x14ac:dyDescent="0.25">
      <c r="A310" s="6">
        <v>1309</v>
      </c>
      <c r="B310" s="7">
        <v>45020.504587152776</v>
      </c>
      <c r="C310" s="7">
        <v>45020.504587152776</v>
      </c>
      <c r="D310" s="8">
        <v>45020.504587152776</v>
      </c>
      <c r="E310" s="9" t="s">
        <v>203</v>
      </c>
      <c r="F310" s="9" t="s">
        <v>19</v>
      </c>
      <c r="G310" s="9" t="s">
        <v>30</v>
      </c>
      <c r="H310" s="9" t="s">
        <v>33</v>
      </c>
      <c r="I310" s="9">
        <v>5</v>
      </c>
      <c r="J310" s="9">
        <v>213</v>
      </c>
      <c r="K310" s="10">
        <v>1065</v>
      </c>
      <c r="L310" s="9">
        <f>HOUR([1]restaurant_sales_1200!$B310)</f>
        <v>12</v>
      </c>
      <c r="M310" s="9" t="str">
        <f t="shared" si="1"/>
        <v>Saturday</v>
      </c>
    </row>
    <row r="311" spans="1:13" x14ac:dyDescent="0.25">
      <c r="A311" s="6">
        <v>1310</v>
      </c>
      <c r="B311" s="7">
        <v>45020.808173472222</v>
      </c>
      <c r="C311" s="7">
        <v>45020.808173472222</v>
      </c>
      <c r="D311" s="8">
        <v>45020.808173472222</v>
      </c>
      <c r="E311" s="9" t="s">
        <v>96</v>
      </c>
      <c r="F311" s="9" t="s">
        <v>8</v>
      </c>
      <c r="G311" s="9" t="s">
        <v>9</v>
      </c>
      <c r="H311" s="9" t="s">
        <v>31</v>
      </c>
      <c r="I311" s="9">
        <v>5</v>
      </c>
      <c r="J311" s="9">
        <v>139</v>
      </c>
      <c r="K311" s="10">
        <v>695</v>
      </c>
      <c r="L311" s="9">
        <f>HOUR([1]restaurant_sales_1200!$B311)</f>
        <v>19</v>
      </c>
      <c r="M311" s="9" t="str">
        <f t="shared" si="1"/>
        <v>Sunday</v>
      </c>
    </row>
    <row r="312" spans="1:13" x14ac:dyDescent="0.25">
      <c r="A312" s="6">
        <v>1311</v>
      </c>
      <c r="B312" s="7">
        <v>45021.111759803243</v>
      </c>
      <c r="C312" s="7">
        <v>45021.111759803243</v>
      </c>
      <c r="D312" s="8">
        <v>45021.111759803243</v>
      </c>
      <c r="E312" s="9" t="s">
        <v>160</v>
      </c>
      <c r="F312" s="9" t="s">
        <v>8</v>
      </c>
      <c r="G312" s="9" t="s">
        <v>6</v>
      </c>
      <c r="H312" s="9" t="s">
        <v>3</v>
      </c>
      <c r="I312" s="9">
        <v>1</v>
      </c>
      <c r="J312" s="9">
        <v>400</v>
      </c>
      <c r="K312" s="10">
        <v>400</v>
      </c>
      <c r="L312" s="9">
        <f>HOUR([1]restaurant_sales_1200!$B312)</f>
        <v>2</v>
      </c>
      <c r="M312" s="9" t="str">
        <f t="shared" si="1"/>
        <v>Monday</v>
      </c>
    </row>
    <row r="313" spans="1:13" x14ac:dyDescent="0.25">
      <c r="A313" s="6">
        <v>1312</v>
      </c>
      <c r="B313" s="7">
        <v>45021.415346122689</v>
      </c>
      <c r="C313" s="7">
        <v>45021.415346122689</v>
      </c>
      <c r="D313" s="8">
        <v>45021.415346122689</v>
      </c>
      <c r="E313" s="9" t="s">
        <v>123</v>
      </c>
      <c r="F313" s="9" t="s">
        <v>5</v>
      </c>
      <c r="G313" s="9" t="s">
        <v>2</v>
      </c>
      <c r="H313" s="9" t="s">
        <v>13</v>
      </c>
      <c r="I313" s="9">
        <v>3</v>
      </c>
      <c r="J313" s="9">
        <v>323</v>
      </c>
      <c r="K313" s="10">
        <v>969</v>
      </c>
      <c r="L313" s="9">
        <f>HOUR([1]restaurant_sales_1200!$B313)</f>
        <v>9</v>
      </c>
      <c r="M313" s="9" t="str">
        <f t="shared" si="1"/>
        <v>Tuesday</v>
      </c>
    </row>
    <row r="314" spans="1:13" x14ac:dyDescent="0.25">
      <c r="A314" s="6">
        <v>1313</v>
      </c>
      <c r="B314" s="7">
        <v>45021.718932442127</v>
      </c>
      <c r="C314" s="7">
        <v>45021.718932442127</v>
      </c>
      <c r="D314" s="8">
        <v>45021.718932442127</v>
      </c>
      <c r="E314" s="9" t="s">
        <v>52</v>
      </c>
      <c r="F314" s="9" t="s">
        <v>5</v>
      </c>
      <c r="G314" s="9" t="s">
        <v>9</v>
      </c>
      <c r="H314" s="9" t="s">
        <v>33</v>
      </c>
      <c r="I314" s="9">
        <v>2</v>
      </c>
      <c r="J314" s="9">
        <v>417</v>
      </c>
      <c r="K314" s="10">
        <v>834</v>
      </c>
      <c r="L314" s="9">
        <f>HOUR([1]restaurant_sales_1200!$B314)</f>
        <v>17</v>
      </c>
      <c r="M314" s="9" t="str">
        <f t="shared" si="1"/>
        <v>Wednesday</v>
      </c>
    </row>
    <row r="315" spans="1:13" x14ac:dyDescent="0.25">
      <c r="A315" s="6">
        <v>1314</v>
      </c>
      <c r="B315" s="7">
        <v>45022.022518761572</v>
      </c>
      <c r="C315" s="7">
        <v>45022.022518761572</v>
      </c>
      <c r="D315" s="8">
        <v>45022.022518761572</v>
      </c>
      <c r="E315" s="9" t="s">
        <v>161</v>
      </c>
      <c r="F315" s="9" t="s">
        <v>5</v>
      </c>
      <c r="G315" s="9" t="s">
        <v>15</v>
      </c>
      <c r="H315" s="9" t="s">
        <v>24</v>
      </c>
      <c r="I315" s="9">
        <v>1</v>
      </c>
      <c r="J315" s="9">
        <v>448</v>
      </c>
      <c r="K315" s="10">
        <v>448</v>
      </c>
      <c r="L315" s="9">
        <f>HOUR([1]restaurant_sales_1200!$B315)</f>
        <v>0</v>
      </c>
      <c r="M315" s="9" t="str">
        <f t="shared" si="1"/>
        <v>Thursday</v>
      </c>
    </row>
    <row r="316" spans="1:13" x14ac:dyDescent="0.25">
      <c r="A316" s="6">
        <v>1315</v>
      </c>
      <c r="B316" s="7">
        <v>45022.326105092594</v>
      </c>
      <c r="C316" s="7">
        <v>45022.326105092594</v>
      </c>
      <c r="D316" s="8">
        <v>45022.326105092594</v>
      </c>
      <c r="E316" s="9" t="s">
        <v>206</v>
      </c>
      <c r="F316" s="9" t="s">
        <v>19</v>
      </c>
      <c r="G316" s="9" t="s">
        <v>6</v>
      </c>
      <c r="H316" s="9" t="s">
        <v>26</v>
      </c>
      <c r="I316" s="9">
        <v>2</v>
      </c>
      <c r="J316" s="9">
        <v>214</v>
      </c>
      <c r="K316" s="10">
        <v>428</v>
      </c>
      <c r="L316" s="9">
        <f>HOUR([1]restaurant_sales_1200!$B316)</f>
        <v>7</v>
      </c>
      <c r="M316" s="9" t="str">
        <f t="shared" si="1"/>
        <v>Friday</v>
      </c>
    </row>
    <row r="317" spans="1:13" x14ac:dyDescent="0.25">
      <c r="A317" s="6">
        <v>1316</v>
      </c>
      <c r="B317" s="7">
        <v>45022.629691412039</v>
      </c>
      <c r="C317" s="7">
        <v>45022.629691412039</v>
      </c>
      <c r="D317" s="8">
        <v>45022.629691412039</v>
      </c>
      <c r="E317" s="9" t="s">
        <v>64</v>
      </c>
      <c r="F317" s="9" t="s">
        <v>1</v>
      </c>
      <c r="G317" s="9" t="s">
        <v>6</v>
      </c>
      <c r="H317" s="9" t="s">
        <v>26</v>
      </c>
      <c r="I317" s="9">
        <v>2</v>
      </c>
      <c r="J317" s="9">
        <v>797</v>
      </c>
      <c r="K317" s="10">
        <v>1594</v>
      </c>
      <c r="L317" s="9">
        <f>HOUR([1]restaurant_sales_1200!$B317)</f>
        <v>15</v>
      </c>
      <c r="M317" s="9" t="str">
        <f t="shared" si="1"/>
        <v>Saturday</v>
      </c>
    </row>
    <row r="318" spans="1:13" x14ac:dyDescent="0.25">
      <c r="A318" s="6">
        <v>1317</v>
      </c>
      <c r="B318" s="7">
        <v>45022.933277731485</v>
      </c>
      <c r="C318" s="7">
        <v>45022.933277731485</v>
      </c>
      <c r="D318" s="8">
        <v>45022.933277731485</v>
      </c>
      <c r="E318" s="9" t="s">
        <v>11</v>
      </c>
      <c r="F318" s="9" t="s">
        <v>8</v>
      </c>
      <c r="G318" s="9" t="s">
        <v>6</v>
      </c>
      <c r="H318" s="9" t="s">
        <v>20</v>
      </c>
      <c r="I318" s="9">
        <v>3</v>
      </c>
      <c r="J318" s="9">
        <v>422</v>
      </c>
      <c r="K318" s="10">
        <v>1266</v>
      </c>
      <c r="L318" s="9">
        <f>HOUR([1]restaurant_sales_1200!$B318)</f>
        <v>22</v>
      </c>
      <c r="M318" s="9" t="str">
        <f t="shared" si="1"/>
        <v>Sunday</v>
      </c>
    </row>
    <row r="319" spans="1:13" x14ac:dyDescent="0.25">
      <c r="A319" s="6">
        <v>1318</v>
      </c>
      <c r="B319" s="7">
        <v>45023.236864050923</v>
      </c>
      <c r="C319" s="7">
        <v>45023.236864050923</v>
      </c>
      <c r="D319" s="8">
        <v>45023.236864050923</v>
      </c>
      <c r="E319" s="9" t="s">
        <v>72</v>
      </c>
      <c r="F319" s="9" t="s">
        <v>19</v>
      </c>
      <c r="G319" s="9" t="s">
        <v>6</v>
      </c>
      <c r="H319" s="9" t="s">
        <v>13</v>
      </c>
      <c r="I319" s="9">
        <v>2</v>
      </c>
      <c r="J319" s="9">
        <v>667</v>
      </c>
      <c r="K319" s="10">
        <v>1334</v>
      </c>
      <c r="L319" s="9">
        <f>HOUR([1]restaurant_sales_1200!$B319)</f>
        <v>5</v>
      </c>
      <c r="M319" s="9" t="str">
        <f t="shared" si="1"/>
        <v>Monday</v>
      </c>
    </row>
    <row r="320" spans="1:13" x14ac:dyDescent="0.25">
      <c r="A320" s="6">
        <v>1319</v>
      </c>
      <c r="B320" s="7">
        <v>45023.540450370368</v>
      </c>
      <c r="C320" s="7">
        <v>45023.540450370368</v>
      </c>
      <c r="D320" s="8">
        <v>45023.540450370368</v>
      </c>
      <c r="E320" s="9" t="s">
        <v>207</v>
      </c>
      <c r="F320" s="9" t="s">
        <v>1</v>
      </c>
      <c r="G320" s="9" t="s">
        <v>15</v>
      </c>
      <c r="H320" s="9" t="s">
        <v>24</v>
      </c>
      <c r="I320" s="9">
        <v>2</v>
      </c>
      <c r="J320" s="9">
        <v>139</v>
      </c>
      <c r="K320" s="10">
        <v>278</v>
      </c>
      <c r="L320" s="9">
        <f>HOUR([1]restaurant_sales_1200!$B320)</f>
        <v>12</v>
      </c>
      <c r="M320" s="9" t="str">
        <f t="shared" si="1"/>
        <v>Tuesday</v>
      </c>
    </row>
    <row r="321" spans="1:13" x14ac:dyDescent="0.25">
      <c r="A321" s="6">
        <v>1320</v>
      </c>
      <c r="B321" s="7">
        <v>45023.84403670139</v>
      </c>
      <c r="C321" s="7">
        <v>45023.84403670139</v>
      </c>
      <c r="D321" s="8">
        <v>45023.84403670139</v>
      </c>
      <c r="E321" s="9" t="s">
        <v>119</v>
      </c>
      <c r="F321" s="9" t="s">
        <v>1</v>
      </c>
      <c r="G321" s="9" t="s">
        <v>6</v>
      </c>
      <c r="H321" s="9" t="s">
        <v>24</v>
      </c>
      <c r="I321" s="9">
        <v>3</v>
      </c>
      <c r="J321" s="9">
        <v>965</v>
      </c>
      <c r="K321" s="10">
        <v>2895</v>
      </c>
      <c r="L321" s="9">
        <f>HOUR([1]restaurant_sales_1200!$B321)</f>
        <v>20</v>
      </c>
      <c r="M321" s="9" t="str">
        <f t="shared" si="1"/>
        <v>Wednesday</v>
      </c>
    </row>
    <row r="322" spans="1:13" x14ac:dyDescent="0.25">
      <c r="A322" s="6">
        <v>1321</v>
      </c>
      <c r="B322" s="7">
        <v>45024.147623020835</v>
      </c>
      <c r="C322" s="7">
        <v>45024.147623020835</v>
      </c>
      <c r="D322" s="8">
        <v>45024.147623020835</v>
      </c>
      <c r="E322" s="9" t="s">
        <v>148</v>
      </c>
      <c r="F322" s="9" t="s">
        <v>19</v>
      </c>
      <c r="G322" s="9" t="s">
        <v>2</v>
      </c>
      <c r="H322" s="9" t="s">
        <v>26</v>
      </c>
      <c r="I322" s="9">
        <v>2</v>
      </c>
      <c r="J322" s="9">
        <v>139</v>
      </c>
      <c r="K322" s="10">
        <v>278</v>
      </c>
      <c r="L322" s="9">
        <f>HOUR([1]restaurant_sales_1200!$B322)</f>
        <v>3</v>
      </c>
      <c r="M322" s="9" t="str">
        <f t="shared" si="1"/>
        <v>Thursday</v>
      </c>
    </row>
    <row r="323" spans="1:13" x14ac:dyDescent="0.25">
      <c r="A323" s="6">
        <v>1322</v>
      </c>
      <c r="B323" s="7">
        <v>45024.451209340281</v>
      </c>
      <c r="C323" s="7">
        <v>45024.451209340281</v>
      </c>
      <c r="D323" s="8">
        <v>45024.451209340281</v>
      </c>
      <c r="E323" s="9" t="s">
        <v>208</v>
      </c>
      <c r="F323" s="9" t="s">
        <v>1</v>
      </c>
      <c r="G323" s="9" t="s">
        <v>2</v>
      </c>
      <c r="H323" s="9" t="s">
        <v>31</v>
      </c>
      <c r="I323" s="9">
        <v>2</v>
      </c>
      <c r="J323" s="9">
        <v>958</v>
      </c>
      <c r="K323" s="10">
        <v>1916</v>
      </c>
      <c r="L323" s="9">
        <f>HOUR([1]restaurant_sales_1200!$B323)</f>
        <v>10</v>
      </c>
      <c r="M323" s="9" t="str">
        <f t="shared" si="1"/>
        <v>Friday</v>
      </c>
    </row>
    <row r="324" spans="1:13" x14ac:dyDescent="0.25">
      <c r="A324" s="6">
        <v>1323</v>
      </c>
      <c r="B324" s="7">
        <v>45024.754795659719</v>
      </c>
      <c r="C324" s="7">
        <v>45024.754795659719</v>
      </c>
      <c r="D324" s="8">
        <v>45024.754795659719</v>
      </c>
      <c r="E324" s="9" t="s">
        <v>209</v>
      </c>
      <c r="F324" s="9" t="s">
        <v>5</v>
      </c>
      <c r="G324" s="9" t="s">
        <v>6</v>
      </c>
      <c r="H324" s="9" t="s">
        <v>10</v>
      </c>
      <c r="I324" s="9">
        <v>2</v>
      </c>
      <c r="J324" s="9">
        <v>848</v>
      </c>
      <c r="K324" s="10">
        <v>1696</v>
      </c>
      <c r="L324" s="9">
        <f>HOUR([1]restaurant_sales_1200!$B324)</f>
        <v>18</v>
      </c>
      <c r="M324" s="9" t="str">
        <f t="shared" si="1"/>
        <v>Saturday</v>
      </c>
    </row>
    <row r="325" spans="1:13" x14ac:dyDescent="0.25">
      <c r="A325" s="6">
        <v>1324</v>
      </c>
      <c r="B325" s="7">
        <v>45025.058381990741</v>
      </c>
      <c r="C325" s="7">
        <v>45025.058381990741</v>
      </c>
      <c r="D325" s="8">
        <v>45025.058381990741</v>
      </c>
      <c r="E325" s="9" t="s">
        <v>113</v>
      </c>
      <c r="F325" s="9" t="s">
        <v>19</v>
      </c>
      <c r="G325" s="9" t="s">
        <v>30</v>
      </c>
      <c r="H325" s="9" t="s">
        <v>20</v>
      </c>
      <c r="I325" s="9">
        <v>1</v>
      </c>
      <c r="J325" s="9">
        <v>388</v>
      </c>
      <c r="K325" s="10">
        <v>388</v>
      </c>
      <c r="L325" s="9">
        <f>HOUR([1]restaurant_sales_1200!$B325)</f>
        <v>1</v>
      </c>
      <c r="M325" s="9" t="str">
        <f t="shared" si="1"/>
        <v>Sunday</v>
      </c>
    </row>
    <row r="326" spans="1:13" x14ac:dyDescent="0.25">
      <c r="A326" s="6">
        <v>1325</v>
      </c>
      <c r="B326" s="7">
        <v>45025.361968310186</v>
      </c>
      <c r="C326" s="7">
        <v>45025.361968310186</v>
      </c>
      <c r="D326" s="8">
        <v>45025.361968310186</v>
      </c>
      <c r="E326" s="9" t="s">
        <v>204</v>
      </c>
      <c r="F326" s="9" t="s">
        <v>8</v>
      </c>
      <c r="G326" s="9" t="s">
        <v>15</v>
      </c>
      <c r="H326" s="9" t="s">
        <v>16</v>
      </c>
      <c r="I326" s="9">
        <v>1</v>
      </c>
      <c r="J326" s="9">
        <v>361</v>
      </c>
      <c r="K326" s="10">
        <v>361</v>
      </c>
      <c r="L326" s="9">
        <f>HOUR([1]restaurant_sales_1200!$B326)</f>
        <v>8</v>
      </c>
      <c r="M326" s="9" t="str">
        <f t="shared" si="1"/>
        <v>Monday</v>
      </c>
    </row>
    <row r="327" spans="1:13" x14ac:dyDescent="0.25">
      <c r="A327" s="6">
        <v>1326</v>
      </c>
      <c r="B327" s="7">
        <v>45025.665554629632</v>
      </c>
      <c r="C327" s="7">
        <v>45025.665554629632</v>
      </c>
      <c r="D327" s="8">
        <v>45025.665554629632</v>
      </c>
      <c r="E327" s="9" t="s">
        <v>115</v>
      </c>
      <c r="F327" s="9" t="s">
        <v>5</v>
      </c>
      <c r="G327" s="9" t="s">
        <v>2</v>
      </c>
      <c r="H327" s="9" t="s">
        <v>13</v>
      </c>
      <c r="I327" s="9">
        <v>1</v>
      </c>
      <c r="J327" s="9">
        <v>315</v>
      </c>
      <c r="K327" s="10">
        <v>315</v>
      </c>
      <c r="L327" s="9">
        <f>HOUR([1]restaurant_sales_1200!$B327)</f>
        <v>15</v>
      </c>
      <c r="M327" s="9" t="str">
        <f t="shared" si="1"/>
        <v>Tuesday</v>
      </c>
    </row>
    <row r="328" spans="1:13" x14ac:dyDescent="0.25">
      <c r="A328" s="6">
        <v>1327</v>
      </c>
      <c r="B328" s="7">
        <v>45025.969140949077</v>
      </c>
      <c r="C328" s="7">
        <v>45025.969140949077</v>
      </c>
      <c r="D328" s="8">
        <v>45025.969140949077</v>
      </c>
      <c r="E328" s="9" t="s">
        <v>202</v>
      </c>
      <c r="F328" s="9" t="s">
        <v>8</v>
      </c>
      <c r="G328" s="9" t="s">
        <v>2</v>
      </c>
      <c r="H328" s="9" t="s">
        <v>10</v>
      </c>
      <c r="I328" s="9">
        <v>3</v>
      </c>
      <c r="J328" s="9">
        <v>246</v>
      </c>
      <c r="K328" s="10">
        <v>738</v>
      </c>
      <c r="L328" s="9">
        <f>HOUR([1]restaurant_sales_1200!$B328)</f>
        <v>23</v>
      </c>
      <c r="M328" s="9" t="str">
        <f t="shared" si="1"/>
        <v>Wednesday</v>
      </c>
    </row>
    <row r="329" spans="1:13" x14ac:dyDescent="0.25">
      <c r="A329" s="6">
        <v>1328</v>
      </c>
      <c r="B329" s="7">
        <v>45026.272727268515</v>
      </c>
      <c r="C329" s="7">
        <v>45026.272727268515</v>
      </c>
      <c r="D329" s="8">
        <v>45026.272727268515</v>
      </c>
      <c r="E329" s="9" t="s">
        <v>210</v>
      </c>
      <c r="F329" s="9" t="s">
        <v>1</v>
      </c>
      <c r="G329" s="9" t="s">
        <v>2</v>
      </c>
      <c r="H329" s="9" t="s">
        <v>47</v>
      </c>
      <c r="I329" s="9">
        <v>5</v>
      </c>
      <c r="J329" s="9">
        <v>435</v>
      </c>
      <c r="K329" s="10">
        <v>2175</v>
      </c>
      <c r="L329" s="9">
        <f>HOUR([1]restaurant_sales_1200!$B329)</f>
        <v>6</v>
      </c>
      <c r="M329" s="9" t="str">
        <f t="shared" si="1"/>
        <v>Thursday</v>
      </c>
    </row>
    <row r="330" spans="1:13" x14ac:dyDescent="0.25">
      <c r="A330" s="6">
        <v>1329</v>
      </c>
      <c r="B330" s="7">
        <v>45026.576313599537</v>
      </c>
      <c r="C330" s="7">
        <v>45026.576313599537</v>
      </c>
      <c r="D330" s="8">
        <v>45026.576313599537</v>
      </c>
      <c r="E330" s="9" t="s">
        <v>211</v>
      </c>
      <c r="F330" s="9" t="s">
        <v>5</v>
      </c>
      <c r="G330" s="9" t="s">
        <v>9</v>
      </c>
      <c r="H330" s="9" t="s">
        <v>24</v>
      </c>
      <c r="I330" s="9">
        <v>2</v>
      </c>
      <c r="J330" s="9">
        <v>267</v>
      </c>
      <c r="K330" s="10">
        <v>534</v>
      </c>
      <c r="L330" s="9">
        <f>HOUR([1]restaurant_sales_1200!$B330)</f>
        <v>13</v>
      </c>
      <c r="M330" s="9" t="str">
        <f t="shared" si="1"/>
        <v>Friday</v>
      </c>
    </row>
    <row r="331" spans="1:13" x14ac:dyDescent="0.25">
      <c r="A331" s="6">
        <v>1330</v>
      </c>
      <c r="B331" s="7">
        <v>45026.879899918982</v>
      </c>
      <c r="C331" s="7">
        <v>45026.879899918982</v>
      </c>
      <c r="D331" s="8">
        <v>45026.879899918982</v>
      </c>
      <c r="E331" s="9" t="s">
        <v>52</v>
      </c>
      <c r="F331" s="9" t="s">
        <v>8</v>
      </c>
      <c r="G331" s="9" t="s">
        <v>9</v>
      </c>
      <c r="H331" s="9" t="s">
        <v>26</v>
      </c>
      <c r="I331" s="9">
        <v>2</v>
      </c>
      <c r="J331" s="9">
        <v>191</v>
      </c>
      <c r="K331" s="10">
        <v>382</v>
      </c>
      <c r="L331" s="9">
        <f>HOUR([1]restaurant_sales_1200!$B331)</f>
        <v>21</v>
      </c>
      <c r="M331" s="9" t="str">
        <f t="shared" si="1"/>
        <v>Saturday</v>
      </c>
    </row>
    <row r="332" spans="1:13" x14ac:dyDescent="0.25">
      <c r="A332" s="6">
        <v>1331</v>
      </c>
      <c r="B332" s="7">
        <v>45027.183486238428</v>
      </c>
      <c r="C332" s="7">
        <v>45027.183486238428</v>
      </c>
      <c r="D332" s="8">
        <v>45027.183486238428</v>
      </c>
      <c r="E332" s="9" t="s">
        <v>212</v>
      </c>
      <c r="F332" s="9" t="s">
        <v>19</v>
      </c>
      <c r="G332" s="9" t="s">
        <v>2</v>
      </c>
      <c r="H332" s="9" t="s">
        <v>33</v>
      </c>
      <c r="I332" s="9">
        <v>3</v>
      </c>
      <c r="J332" s="9">
        <v>452</v>
      </c>
      <c r="K332" s="10">
        <v>1356</v>
      </c>
      <c r="L332" s="9">
        <f>HOUR([1]restaurant_sales_1200!$B332)</f>
        <v>4</v>
      </c>
      <c r="M332" s="9" t="str">
        <f t="shared" si="1"/>
        <v>Sunday</v>
      </c>
    </row>
    <row r="333" spans="1:13" x14ac:dyDescent="0.25">
      <c r="A333" s="6">
        <v>1332</v>
      </c>
      <c r="B333" s="7">
        <v>45027.487072557873</v>
      </c>
      <c r="C333" s="7">
        <v>45027.487072557873</v>
      </c>
      <c r="D333" s="8">
        <v>45027.487072557873</v>
      </c>
      <c r="E333" s="9" t="s">
        <v>124</v>
      </c>
      <c r="F333" s="9" t="s">
        <v>1</v>
      </c>
      <c r="G333" s="9" t="s">
        <v>30</v>
      </c>
      <c r="H333" s="9" t="s">
        <v>33</v>
      </c>
      <c r="I333" s="9">
        <v>2</v>
      </c>
      <c r="J333" s="9">
        <v>670</v>
      </c>
      <c r="K333" s="10">
        <v>1340</v>
      </c>
      <c r="L333" s="9">
        <f>HOUR([1]restaurant_sales_1200!$B333)</f>
        <v>11</v>
      </c>
      <c r="M333" s="9" t="str">
        <f t="shared" si="1"/>
        <v>Monday</v>
      </c>
    </row>
    <row r="334" spans="1:13" x14ac:dyDescent="0.25">
      <c r="A334" s="6">
        <v>1333</v>
      </c>
      <c r="B334" s="7">
        <v>45027.790658877311</v>
      </c>
      <c r="C334" s="7">
        <v>45027.790658877311</v>
      </c>
      <c r="D334" s="8">
        <v>45027.790658877311</v>
      </c>
      <c r="E334" s="9" t="s">
        <v>115</v>
      </c>
      <c r="F334" s="9" t="s">
        <v>8</v>
      </c>
      <c r="G334" s="9" t="s">
        <v>15</v>
      </c>
      <c r="H334" s="9" t="s">
        <v>47</v>
      </c>
      <c r="I334" s="9">
        <v>1</v>
      </c>
      <c r="J334" s="9">
        <v>670</v>
      </c>
      <c r="K334" s="10">
        <v>670</v>
      </c>
      <c r="L334" s="9">
        <f>HOUR([1]restaurant_sales_1200!$B334)</f>
        <v>18</v>
      </c>
      <c r="M334" s="9" t="str">
        <f t="shared" si="1"/>
        <v>Tuesday</v>
      </c>
    </row>
    <row r="335" spans="1:13" x14ac:dyDescent="0.25">
      <c r="A335" s="6">
        <v>1334</v>
      </c>
      <c r="B335" s="7">
        <v>45028.094245208333</v>
      </c>
      <c r="C335" s="7">
        <v>45028.094245208333</v>
      </c>
      <c r="D335" s="8">
        <v>45028.094245208333</v>
      </c>
      <c r="E335" s="9" t="s">
        <v>44</v>
      </c>
      <c r="F335" s="9" t="s">
        <v>1</v>
      </c>
      <c r="G335" s="9" t="s">
        <v>15</v>
      </c>
      <c r="H335" s="9" t="s">
        <v>24</v>
      </c>
      <c r="I335" s="9">
        <v>5</v>
      </c>
      <c r="J335" s="9">
        <v>915</v>
      </c>
      <c r="K335" s="10">
        <v>4575</v>
      </c>
      <c r="L335" s="9">
        <f>HOUR([1]restaurant_sales_1200!$B335)</f>
        <v>2</v>
      </c>
      <c r="M335" s="9" t="str">
        <f t="shared" si="1"/>
        <v>Wednesday</v>
      </c>
    </row>
    <row r="336" spans="1:13" x14ac:dyDescent="0.25">
      <c r="A336" s="6">
        <v>1335</v>
      </c>
      <c r="B336" s="7">
        <v>45028.397831527778</v>
      </c>
      <c r="C336" s="7">
        <v>45028.397831527778</v>
      </c>
      <c r="D336" s="8">
        <v>45028.397831527778</v>
      </c>
      <c r="E336" s="9" t="s">
        <v>213</v>
      </c>
      <c r="F336" s="9" t="s">
        <v>8</v>
      </c>
      <c r="G336" s="9" t="s">
        <v>2</v>
      </c>
      <c r="H336" s="9" t="s">
        <v>16</v>
      </c>
      <c r="I336" s="9">
        <v>4</v>
      </c>
      <c r="J336" s="9">
        <v>780</v>
      </c>
      <c r="K336" s="10">
        <v>3120</v>
      </c>
      <c r="L336" s="9">
        <f>HOUR([1]restaurant_sales_1200!$B336)</f>
        <v>9</v>
      </c>
      <c r="M336" s="9" t="str">
        <f t="shared" si="1"/>
        <v>Thursday</v>
      </c>
    </row>
    <row r="337" spans="1:13" x14ac:dyDescent="0.25">
      <c r="A337" s="6">
        <v>1336</v>
      </c>
      <c r="B337" s="7">
        <v>45028.701417847224</v>
      </c>
      <c r="C337" s="7">
        <v>45028.701417847224</v>
      </c>
      <c r="D337" s="8">
        <v>45028.701417847224</v>
      </c>
      <c r="E337" s="9" t="s">
        <v>214</v>
      </c>
      <c r="F337" s="9" t="s">
        <v>19</v>
      </c>
      <c r="G337" s="9" t="s">
        <v>2</v>
      </c>
      <c r="H337" s="9" t="s">
        <v>16</v>
      </c>
      <c r="I337" s="9">
        <v>2</v>
      </c>
      <c r="J337" s="9">
        <v>880</v>
      </c>
      <c r="K337" s="10">
        <v>1760</v>
      </c>
      <c r="L337" s="9">
        <f>HOUR([1]restaurant_sales_1200!$B337)</f>
        <v>16</v>
      </c>
      <c r="M337" s="9" t="str">
        <f t="shared" si="1"/>
        <v>Friday</v>
      </c>
    </row>
    <row r="338" spans="1:13" x14ac:dyDescent="0.25">
      <c r="A338" s="6">
        <v>1337</v>
      </c>
      <c r="B338" s="7">
        <v>45029.005004166669</v>
      </c>
      <c r="C338" s="7">
        <v>45029.005004166669</v>
      </c>
      <c r="D338" s="8">
        <v>45029.005004166669</v>
      </c>
      <c r="E338" s="9" t="s">
        <v>74</v>
      </c>
      <c r="F338" s="9" t="s">
        <v>5</v>
      </c>
      <c r="G338" s="9" t="s">
        <v>15</v>
      </c>
      <c r="H338" s="9" t="s">
        <v>47</v>
      </c>
      <c r="I338" s="9">
        <v>1</v>
      </c>
      <c r="J338" s="9">
        <v>462</v>
      </c>
      <c r="K338" s="10">
        <v>462</v>
      </c>
      <c r="L338" s="9">
        <f>HOUR([1]restaurant_sales_1200!$B338)</f>
        <v>0</v>
      </c>
      <c r="M338" s="9" t="str">
        <f t="shared" si="1"/>
        <v>Saturday</v>
      </c>
    </row>
    <row r="339" spans="1:13" x14ac:dyDescent="0.25">
      <c r="A339" s="6">
        <v>1338</v>
      </c>
      <c r="B339" s="7">
        <v>45029.308590497683</v>
      </c>
      <c r="C339" s="7">
        <v>45029.308590497683</v>
      </c>
      <c r="D339" s="8">
        <v>45029.308590497683</v>
      </c>
      <c r="E339" s="9" t="s">
        <v>215</v>
      </c>
      <c r="F339" s="9" t="s">
        <v>8</v>
      </c>
      <c r="G339" s="9" t="s">
        <v>30</v>
      </c>
      <c r="H339" s="9" t="s">
        <v>31</v>
      </c>
      <c r="I339" s="9">
        <v>4</v>
      </c>
      <c r="J339" s="9">
        <v>656</v>
      </c>
      <c r="K339" s="10">
        <v>2624</v>
      </c>
      <c r="L339" s="9">
        <f>HOUR([1]restaurant_sales_1200!$B339)</f>
        <v>7</v>
      </c>
      <c r="M339" s="9" t="str">
        <f t="shared" si="1"/>
        <v>Sunday</v>
      </c>
    </row>
    <row r="340" spans="1:13" x14ac:dyDescent="0.25">
      <c r="A340" s="6">
        <v>1339</v>
      </c>
      <c r="B340" s="7">
        <v>45029.612176817129</v>
      </c>
      <c r="C340" s="7">
        <v>45029.612176817129</v>
      </c>
      <c r="D340" s="8">
        <v>45029.612176817129</v>
      </c>
      <c r="E340" s="9" t="s">
        <v>201</v>
      </c>
      <c r="F340" s="9" t="s">
        <v>1</v>
      </c>
      <c r="G340" s="9" t="s">
        <v>9</v>
      </c>
      <c r="H340" s="9" t="s">
        <v>16</v>
      </c>
      <c r="I340" s="9">
        <v>5</v>
      </c>
      <c r="J340" s="9">
        <v>444</v>
      </c>
      <c r="K340" s="10">
        <v>2220</v>
      </c>
      <c r="L340" s="9">
        <f>HOUR([1]restaurant_sales_1200!$B340)</f>
        <v>14</v>
      </c>
      <c r="M340" s="9" t="str">
        <f t="shared" si="1"/>
        <v>Monday</v>
      </c>
    </row>
    <row r="341" spans="1:13" x14ac:dyDescent="0.25">
      <c r="A341" s="6">
        <v>1340</v>
      </c>
      <c r="B341" s="7">
        <v>45029.915763136574</v>
      </c>
      <c r="C341" s="7">
        <v>45029.915763136574</v>
      </c>
      <c r="D341" s="8">
        <v>45029.915763136574</v>
      </c>
      <c r="E341" s="9" t="s">
        <v>52</v>
      </c>
      <c r="F341" s="9" t="s">
        <v>19</v>
      </c>
      <c r="G341" s="9" t="s">
        <v>9</v>
      </c>
      <c r="H341" s="9" t="s">
        <v>13</v>
      </c>
      <c r="I341" s="9">
        <v>4</v>
      </c>
      <c r="J341" s="9">
        <v>792</v>
      </c>
      <c r="K341" s="10">
        <v>3168</v>
      </c>
      <c r="L341" s="9">
        <f>HOUR([1]restaurant_sales_1200!$B341)</f>
        <v>21</v>
      </c>
      <c r="M341" s="9" t="str">
        <f t="shared" si="1"/>
        <v>Tuesday</v>
      </c>
    </row>
    <row r="342" spans="1:13" x14ac:dyDescent="0.25">
      <c r="A342" s="6">
        <v>1341</v>
      </c>
      <c r="B342" s="7">
        <v>45030.21934945602</v>
      </c>
      <c r="C342" s="7">
        <v>45030.21934945602</v>
      </c>
      <c r="D342" s="8">
        <v>45030.21934945602</v>
      </c>
      <c r="E342" s="9" t="s">
        <v>32</v>
      </c>
      <c r="F342" s="9" t="s">
        <v>5</v>
      </c>
      <c r="G342" s="9" t="s">
        <v>2</v>
      </c>
      <c r="H342" s="9" t="s">
        <v>20</v>
      </c>
      <c r="I342" s="9">
        <v>1</v>
      </c>
      <c r="J342" s="9">
        <v>269</v>
      </c>
      <c r="K342" s="10">
        <v>269</v>
      </c>
      <c r="L342" s="9">
        <f>HOUR([1]restaurant_sales_1200!$B342)</f>
        <v>5</v>
      </c>
      <c r="M342" s="9" t="str">
        <f t="shared" si="1"/>
        <v>Wednesday</v>
      </c>
    </row>
    <row r="343" spans="1:13" x14ac:dyDescent="0.25">
      <c r="A343" s="6">
        <v>1342</v>
      </c>
      <c r="B343" s="7">
        <v>45030.522935775465</v>
      </c>
      <c r="C343" s="7">
        <v>45030.522935775465</v>
      </c>
      <c r="D343" s="8">
        <v>45030.522935775465</v>
      </c>
      <c r="E343" s="9" t="s">
        <v>132</v>
      </c>
      <c r="F343" s="9" t="s">
        <v>1</v>
      </c>
      <c r="G343" s="9" t="s">
        <v>15</v>
      </c>
      <c r="H343" s="9" t="s">
        <v>13</v>
      </c>
      <c r="I343" s="9">
        <v>4</v>
      </c>
      <c r="J343" s="9">
        <v>455</v>
      </c>
      <c r="K343" s="10">
        <v>1820</v>
      </c>
      <c r="L343" s="9">
        <f>HOUR([1]restaurant_sales_1200!$B343)</f>
        <v>12</v>
      </c>
      <c r="M343" s="9" t="str">
        <f t="shared" si="1"/>
        <v>Thursday</v>
      </c>
    </row>
    <row r="344" spans="1:13" x14ac:dyDescent="0.25">
      <c r="A344" s="6">
        <v>1343</v>
      </c>
      <c r="B344" s="7">
        <v>45030.826522106479</v>
      </c>
      <c r="C344" s="7">
        <v>45030.826522106479</v>
      </c>
      <c r="D344" s="8">
        <v>45030.826522106479</v>
      </c>
      <c r="E344" s="9" t="s">
        <v>114</v>
      </c>
      <c r="F344" s="9" t="s">
        <v>19</v>
      </c>
      <c r="G344" s="9" t="s">
        <v>9</v>
      </c>
      <c r="H344" s="9" t="s">
        <v>3</v>
      </c>
      <c r="I344" s="9">
        <v>3</v>
      </c>
      <c r="J344" s="9">
        <v>290</v>
      </c>
      <c r="K344" s="10">
        <v>870</v>
      </c>
      <c r="L344" s="9">
        <f>HOUR([1]restaurant_sales_1200!$B344)</f>
        <v>19</v>
      </c>
      <c r="M344" s="9" t="str">
        <f t="shared" si="1"/>
        <v>Friday</v>
      </c>
    </row>
    <row r="345" spans="1:13" x14ac:dyDescent="0.25">
      <c r="A345" s="6">
        <v>1344</v>
      </c>
      <c r="B345" s="7">
        <v>45031.130108425925</v>
      </c>
      <c r="C345" s="7">
        <v>45031.130108425925</v>
      </c>
      <c r="D345" s="8">
        <v>45031.130108425925</v>
      </c>
      <c r="E345" s="9" t="s">
        <v>216</v>
      </c>
      <c r="F345" s="9" t="s">
        <v>1</v>
      </c>
      <c r="G345" s="9" t="s">
        <v>30</v>
      </c>
      <c r="H345" s="9" t="s">
        <v>33</v>
      </c>
      <c r="I345" s="9">
        <v>4</v>
      </c>
      <c r="J345" s="9">
        <v>766</v>
      </c>
      <c r="K345" s="10">
        <v>3064</v>
      </c>
      <c r="L345" s="9">
        <f>HOUR([1]restaurant_sales_1200!$B345)</f>
        <v>3</v>
      </c>
      <c r="M345" s="9" t="str">
        <f t="shared" si="1"/>
        <v>Saturday</v>
      </c>
    </row>
    <row r="346" spans="1:13" x14ac:dyDescent="0.25">
      <c r="A346" s="6">
        <v>1345</v>
      </c>
      <c r="B346" s="7">
        <v>45031.43369474537</v>
      </c>
      <c r="C346" s="7">
        <v>45031.43369474537</v>
      </c>
      <c r="D346" s="8">
        <v>45031.43369474537</v>
      </c>
      <c r="E346" s="9" t="s">
        <v>27</v>
      </c>
      <c r="F346" s="9" t="s">
        <v>19</v>
      </c>
      <c r="G346" s="9" t="s">
        <v>2</v>
      </c>
      <c r="H346" s="9" t="s">
        <v>24</v>
      </c>
      <c r="I346" s="9">
        <v>2</v>
      </c>
      <c r="J346" s="9">
        <v>521</v>
      </c>
      <c r="K346" s="10">
        <v>1042</v>
      </c>
      <c r="L346" s="9">
        <f>HOUR([1]restaurant_sales_1200!$B346)</f>
        <v>10</v>
      </c>
      <c r="M346" s="9" t="str">
        <f t="shared" si="1"/>
        <v>Sunday</v>
      </c>
    </row>
    <row r="347" spans="1:13" x14ac:dyDescent="0.25">
      <c r="A347" s="6">
        <v>1346</v>
      </c>
      <c r="B347" s="7">
        <v>45031.737281064816</v>
      </c>
      <c r="C347" s="7">
        <v>45031.737281064816</v>
      </c>
      <c r="D347" s="8">
        <v>45031.737281064816</v>
      </c>
      <c r="E347" s="9" t="s">
        <v>22</v>
      </c>
      <c r="F347" s="9" t="s">
        <v>5</v>
      </c>
      <c r="G347" s="9" t="s">
        <v>6</v>
      </c>
      <c r="H347" s="9" t="s">
        <v>20</v>
      </c>
      <c r="I347" s="9">
        <v>2</v>
      </c>
      <c r="J347" s="9">
        <v>799</v>
      </c>
      <c r="K347" s="10">
        <v>1598</v>
      </c>
      <c r="L347" s="9">
        <f>HOUR([1]restaurant_sales_1200!$B347)</f>
        <v>17</v>
      </c>
      <c r="M347" s="9" t="str">
        <f t="shared" si="1"/>
        <v>Monday</v>
      </c>
    </row>
    <row r="348" spans="1:13" x14ac:dyDescent="0.25">
      <c r="A348" s="6">
        <v>1347</v>
      </c>
      <c r="B348" s="7">
        <v>45032.040867384261</v>
      </c>
      <c r="C348" s="7">
        <v>45032.040867384261</v>
      </c>
      <c r="D348" s="8">
        <v>45032.040867384261</v>
      </c>
      <c r="E348" s="9" t="s">
        <v>217</v>
      </c>
      <c r="F348" s="9" t="s">
        <v>5</v>
      </c>
      <c r="G348" s="9" t="s">
        <v>2</v>
      </c>
      <c r="H348" s="9" t="s">
        <v>24</v>
      </c>
      <c r="I348" s="9">
        <v>3</v>
      </c>
      <c r="J348" s="9">
        <v>106</v>
      </c>
      <c r="K348" s="10">
        <v>318</v>
      </c>
      <c r="L348" s="9">
        <f>HOUR([1]restaurant_sales_1200!$B348)</f>
        <v>0</v>
      </c>
      <c r="M348" s="9" t="str">
        <f t="shared" si="1"/>
        <v>Tuesday</v>
      </c>
    </row>
    <row r="349" spans="1:13" x14ac:dyDescent="0.25">
      <c r="A349" s="6">
        <v>1348</v>
      </c>
      <c r="B349" s="7">
        <v>45032.344453715275</v>
      </c>
      <c r="C349" s="7">
        <v>45032.344453715275</v>
      </c>
      <c r="D349" s="8">
        <v>45032.344453715275</v>
      </c>
      <c r="E349" s="9" t="s">
        <v>53</v>
      </c>
      <c r="F349" s="9" t="s">
        <v>1</v>
      </c>
      <c r="G349" s="9" t="s">
        <v>6</v>
      </c>
      <c r="H349" s="9" t="s">
        <v>10</v>
      </c>
      <c r="I349" s="9">
        <v>1</v>
      </c>
      <c r="J349" s="9">
        <v>232</v>
      </c>
      <c r="K349" s="10">
        <v>232</v>
      </c>
      <c r="L349" s="9">
        <f>HOUR([1]restaurant_sales_1200!$B349)</f>
        <v>8</v>
      </c>
      <c r="M349" s="9" t="str">
        <f t="shared" si="1"/>
        <v>Wednesday</v>
      </c>
    </row>
    <row r="350" spans="1:13" x14ac:dyDescent="0.25">
      <c r="A350" s="6">
        <v>1349</v>
      </c>
      <c r="B350" s="7">
        <v>45032.648040034721</v>
      </c>
      <c r="C350" s="7">
        <v>45032.648040034721</v>
      </c>
      <c r="D350" s="8">
        <v>45032.648040034721</v>
      </c>
      <c r="E350" s="9" t="s">
        <v>120</v>
      </c>
      <c r="F350" s="9" t="s">
        <v>19</v>
      </c>
      <c r="G350" s="9" t="s">
        <v>2</v>
      </c>
      <c r="H350" s="9" t="s">
        <v>10</v>
      </c>
      <c r="I350" s="9">
        <v>2</v>
      </c>
      <c r="J350" s="9">
        <v>846</v>
      </c>
      <c r="K350" s="10">
        <v>1692</v>
      </c>
      <c r="L350" s="9">
        <f>HOUR([1]restaurant_sales_1200!$B350)</f>
        <v>15</v>
      </c>
      <c r="M350" s="9" t="str">
        <f t="shared" si="1"/>
        <v>Thursday</v>
      </c>
    </row>
    <row r="351" spans="1:13" x14ac:dyDescent="0.25">
      <c r="A351" s="6">
        <v>1350</v>
      </c>
      <c r="B351" s="7">
        <v>45032.951626354166</v>
      </c>
      <c r="C351" s="7">
        <v>45032.951626354166</v>
      </c>
      <c r="D351" s="8">
        <v>45032.951626354166</v>
      </c>
      <c r="E351" s="9" t="s">
        <v>218</v>
      </c>
      <c r="F351" s="9" t="s">
        <v>8</v>
      </c>
      <c r="G351" s="9" t="s">
        <v>15</v>
      </c>
      <c r="H351" s="9" t="s">
        <v>20</v>
      </c>
      <c r="I351" s="9">
        <v>5</v>
      </c>
      <c r="J351" s="9">
        <v>656</v>
      </c>
      <c r="K351" s="10">
        <v>3280</v>
      </c>
      <c r="L351" s="9">
        <f>HOUR([1]restaurant_sales_1200!$B351)</f>
        <v>22</v>
      </c>
      <c r="M351" s="9" t="str">
        <f t="shared" si="1"/>
        <v>Friday</v>
      </c>
    </row>
    <row r="352" spans="1:13" x14ac:dyDescent="0.25">
      <c r="A352" s="6">
        <v>1351</v>
      </c>
      <c r="B352" s="7">
        <v>45033.255212673612</v>
      </c>
      <c r="C352" s="7">
        <v>45033.255212673612</v>
      </c>
      <c r="D352" s="8">
        <v>45033.255212673612</v>
      </c>
      <c r="E352" s="9" t="s">
        <v>219</v>
      </c>
      <c r="F352" s="9" t="s">
        <v>5</v>
      </c>
      <c r="G352" s="9" t="s">
        <v>15</v>
      </c>
      <c r="H352" s="9" t="s">
        <v>31</v>
      </c>
      <c r="I352" s="9">
        <v>2</v>
      </c>
      <c r="J352" s="9">
        <v>925</v>
      </c>
      <c r="K352" s="10">
        <v>1850</v>
      </c>
      <c r="L352" s="9">
        <f>HOUR([1]restaurant_sales_1200!$B352)</f>
        <v>6</v>
      </c>
      <c r="M352" s="9" t="str">
        <f t="shared" si="1"/>
        <v>Saturday</v>
      </c>
    </row>
    <row r="353" spans="1:13" x14ac:dyDescent="0.25">
      <c r="A353" s="6">
        <v>1352</v>
      </c>
      <c r="B353" s="7">
        <v>45033.558799004626</v>
      </c>
      <c r="C353" s="7">
        <v>45033.558799004626</v>
      </c>
      <c r="D353" s="8">
        <v>45033.558799004626</v>
      </c>
      <c r="E353" s="9" t="s">
        <v>97</v>
      </c>
      <c r="F353" s="9" t="s">
        <v>8</v>
      </c>
      <c r="G353" s="9" t="s">
        <v>15</v>
      </c>
      <c r="H353" s="9" t="s">
        <v>16</v>
      </c>
      <c r="I353" s="9">
        <v>2</v>
      </c>
      <c r="J353" s="9">
        <v>860</v>
      </c>
      <c r="K353" s="10">
        <v>1720</v>
      </c>
      <c r="L353" s="9">
        <f>HOUR([1]restaurant_sales_1200!$B353)</f>
        <v>13</v>
      </c>
      <c r="M353" s="9" t="str">
        <f t="shared" si="1"/>
        <v>Sunday</v>
      </c>
    </row>
    <row r="354" spans="1:13" x14ac:dyDescent="0.25">
      <c r="A354" s="6">
        <v>1353</v>
      </c>
      <c r="B354" s="7">
        <v>45033.862385324072</v>
      </c>
      <c r="C354" s="7">
        <v>45033.862385324072</v>
      </c>
      <c r="D354" s="8">
        <v>45033.862385324072</v>
      </c>
      <c r="E354" s="9" t="s">
        <v>127</v>
      </c>
      <c r="F354" s="9" t="s">
        <v>8</v>
      </c>
      <c r="G354" s="9" t="s">
        <v>15</v>
      </c>
      <c r="H354" s="9" t="s">
        <v>16</v>
      </c>
      <c r="I354" s="9">
        <v>1</v>
      </c>
      <c r="J354" s="9">
        <v>130</v>
      </c>
      <c r="K354" s="10">
        <v>130</v>
      </c>
      <c r="L354" s="9">
        <f>HOUR([1]restaurant_sales_1200!$B354)</f>
        <v>20</v>
      </c>
      <c r="M354" s="9" t="str">
        <f t="shared" si="1"/>
        <v>Monday</v>
      </c>
    </row>
    <row r="355" spans="1:13" x14ac:dyDescent="0.25">
      <c r="A355" s="6">
        <v>1354</v>
      </c>
      <c r="B355" s="7">
        <v>45034.165971643517</v>
      </c>
      <c r="C355" s="7">
        <v>45034.165971643517</v>
      </c>
      <c r="D355" s="8">
        <v>45034.165971643517</v>
      </c>
      <c r="E355" s="9" t="s">
        <v>178</v>
      </c>
      <c r="F355" s="9" t="s">
        <v>1</v>
      </c>
      <c r="G355" s="9" t="s">
        <v>30</v>
      </c>
      <c r="H355" s="9" t="s">
        <v>26</v>
      </c>
      <c r="I355" s="9">
        <v>4</v>
      </c>
      <c r="J355" s="9">
        <v>634</v>
      </c>
      <c r="K355" s="10">
        <v>2536</v>
      </c>
      <c r="L355" s="9">
        <f>HOUR([1]restaurant_sales_1200!$B355)</f>
        <v>3</v>
      </c>
      <c r="M355" s="9" t="str">
        <f t="shared" si="1"/>
        <v>Tuesday</v>
      </c>
    </row>
    <row r="356" spans="1:13" x14ac:dyDescent="0.25">
      <c r="A356" s="6">
        <v>1355</v>
      </c>
      <c r="B356" s="7">
        <v>45034.469557962962</v>
      </c>
      <c r="C356" s="7">
        <v>45034.469557962962</v>
      </c>
      <c r="D356" s="8">
        <v>45034.469557962962</v>
      </c>
      <c r="E356" s="9" t="s">
        <v>59</v>
      </c>
      <c r="F356" s="9" t="s">
        <v>1</v>
      </c>
      <c r="G356" s="9" t="s">
        <v>30</v>
      </c>
      <c r="H356" s="9" t="s">
        <v>16</v>
      </c>
      <c r="I356" s="9">
        <v>2</v>
      </c>
      <c r="J356" s="9">
        <v>525</v>
      </c>
      <c r="K356" s="10">
        <v>1050</v>
      </c>
      <c r="L356" s="9">
        <f>HOUR([1]restaurant_sales_1200!$B356)</f>
        <v>11</v>
      </c>
      <c r="M356" s="9" t="str">
        <f t="shared" si="1"/>
        <v>Wednesday</v>
      </c>
    </row>
    <row r="357" spans="1:13" x14ac:dyDescent="0.25">
      <c r="A357" s="6">
        <v>1356</v>
      </c>
      <c r="B357" s="7">
        <v>45034.773144282408</v>
      </c>
      <c r="C357" s="7">
        <v>45034.773144282408</v>
      </c>
      <c r="D357" s="8">
        <v>45034.773144282408</v>
      </c>
      <c r="E357" s="9" t="s">
        <v>220</v>
      </c>
      <c r="F357" s="9" t="s">
        <v>1</v>
      </c>
      <c r="G357" s="9" t="s">
        <v>6</v>
      </c>
      <c r="H357" s="9" t="s">
        <v>31</v>
      </c>
      <c r="I357" s="9">
        <v>3</v>
      </c>
      <c r="J357" s="9">
        <v>493</v>
      </c>
      <c r="K357" s="10">
        <v>1479</v>
      </c>
      <c r="L357" s="9">
        <f>HOUR([1]restaurant_sales_1200!$B357)</f>
        <v>18</v>
      </c>
      <c r="M357" s="9" t="str">
        <f t="shared" si="1"/>
        <v>Thursday</v>
      </c>
    </row>
    <row r="358" spans="1:13" x14ac:dyDescent="0.25">
      <c r="A358" s="6">
        <v>1357</v>
      </c>
      <c r="B358" s="7">
        <v>45035.076730613429</v>
      </c>
      <c r="C358" s="7">
        <v>45035.076730613429</v>
      </c>
      <c r="D358" s="8">
        <v>45035.076730613429</v>
      </c>
      <c r="E358" s="9" t="s">
        <v>35</v>
      </c>
      <c r="F358" s="9" t="s">
        <v>19</v>
      </c>
      <c r="G358" s="9" t="s">
        <v>30</v>
      </c>
      <c r="H358" s="9" t="s">
        <v>16</v>
      </c>
      <c r="I358" s="9">
        <v>4</v>
      </c>
      <c r="J358" s="9">
        <v>771</v>
      </c>
      <c r="K358" s="10">
        <v>3084</v>
      </c>
      <c r="L358" s="9">
        <f>HOUR([1]restaurant_sales_1200!$B358)</f>
        <v>1</v>
      </c>
      <c r="M358" s="9" t="str">
        <f t="shared" si="1"/>
        <v>Friday</v>
      </c>
    </row>
    <row r="359" spans="1:13" x14ac:dyDescent="0.25">
      <c r="A359" s="6">
        <v>1358</v>
      </c>
      <c r="B359" s="7">
        <v>45035.380316932868</v>
      </c>
      <c r="C359" s="7">
        <v>45035.380316932868</v>
      </c>
      <c r="D359" s="8">
        <v>45035.380316932868</v>
      </c>
      <c r="E359" s="9" t="s">
        <v>204</v>
      </c>
      <c r="F359" s="9" t="s">
        <v>5</v>
      </c>
      <c r="G359" s="9" t="s">
        <v>2</v>
      </c>
      <c r="H359" s="9" t="s">
        <v>16</v>
      </c>
      <c r="I359" s="9">
        <v>5</v>
      </c>
      <c r="J359" s="9">
        <v>462</v>
      </c>
      <c r="K359" s="10">
        <v>2310</v>
      </c>
      <c r="L359" s="9">
        <f>HOUR([1]restaurant_sales_1200!$B359)</f>
        <v>9</v>
      </c>
      <c r="M359" s="9" t="str">
        <f t="shared" si="1"/>
        <v>Saturday</v>
      </c>
    </row>
    <row r="360" spans="1:13" x14ac:dyDescent="0.25">
      <c r="A360" s="6">
        <v>1359</v>
      </c>
      <c r="B360" s="7">
        <v>45035.683903252313</v>
      </c>
      <c r="C360" s="7">
        <v>45035.683903252313</v>
      </c>
      <c r="D360" s="8">
        <v>45035.683903252313</v>
      </c>
      <c r="E360" s="9" t="s">
        <v>0</v>
      </c>
      <c r="F360" s="9" t="s">
        <v>5</v>
      </c>
      <c r="G360" s="9" t="s">
        <v>15</v>
      </c>
      <c r="H360" s="9" t="s">
        <v>13</v>
      </c>
      <c r="I360" s="9">
        <v>1</v>
      </c>
      <c r="J360" s="9">
        <v>536</v>
      </c>
      <c r="K360" s="10">
        <v>536</v>
      </c>
      <c r="L360" s="9">
        <f>HOUR([1]restaurant_sales_1200!$B360)</f>
        <v>16</v>
      </c>
      <c r="M360" s="9" t="str">
        <f t="shared" si="1"/>
        <v>Sunday</v>
      </c>
    </row>
    <row r="361" spans="1:13" x14ac:dyDescent="0.25">
      <c r="A361" s="6">
        <v>1360</v>
      </c>
      <c r="B361" s="7">
        <v>45035.987489571758</v>
      </c>
      <c r="C361" s="7">
        <v>45035.987489571758</v>
      </c>
      <c r="D361" s="8">
        <v>45035.987489571758</v>
      </c>
      <c r="E361" s="9" t="s">
        <v>177</v>
      </c>
      <c r="F361" s="9" t="s">
        <v>8</v>
      </c>
      <c r="G361" s="9" t="s">
        <v>9</v>
      </c>
      <c r="H361" s="9" t="s">
        <v>31</v>
      </c>
      <c r="I361" s="9">
        <v>5</v>
      </c>
      <c r="J361" s="9">
        <v>769</v>
      </c>
      <c r="K361" s="10">
        <v>3845</v>
      </c>
      <c r="L361" s="9">
        <f>HOUR([1]restaurant_sales_1200!$B361)</f>
        <v>23</v>
      </c>
      <c r="M361" s="9" t="str">
        <f t="shared" si="1"/>
        <v>Monday</v>
      </c>
    </row>
    <row r="362" spans="1:13" x14ac:dyDescent="0.25">
      <c r="A362" s="6">
        <v>1361</v>
      </c>
      <c r="B362" s="7">
        <v>45036.291075891204</v>
      </c>
      <c r="C362" s="7">
        <v>45036.291075891204</v>
      </c>
      <c r="D362" s="8">
        <v>45036.291075891204</v>
      </c>
      <c r="E362" s="9" t="s">
        <v>221</v>
      </c>
      <c r="F362" s="9" t="s">
        <v>1</v>
      </c>
      <c r="G362" s="9" t="s">
        <v>9</v>
      </c>
      <c r="H362" s="9" t="s">
        <v>16</v>
      </c>
      <c r="I362" s="9">
        <v>4</v>
      </c>
      <c r="J362" s="9">
        <v>650</v>
      </c>
      <c r="K362" s="10">
        <v>2600</v>
      </c>
      <c r="L362" s="9">
        <f>HOUR([1]restaurant_sales_1200!$B362)</f>
        <v>6</v>
      </c>
      <c r="M362" s="9" t="str">
        <f t="shared" si="1"/>
        <v>Tuesday</v>
      </c>
    </row>
    <row r="363" spans="1:13" x14ac:dyDescent="0.25">
      <c r="A363" s="6">
        <v>1362</v>
      </c>
      <c r="B363" s="7">
        <v>45036.594662222225</v>
      </c>
      <c r="C363" s="7">
        <v>45036.594662222225</v>
      </c>
      <c r="D363" s="8">
        <v>45036.594662222225</v>
      </c>
      <c r="E363" s="9" t="s">
        <v>18</v>
      </c>
      <c r="F363" s="9" t="s">
        <v>19</v>
      </c>
      <c r="G363" s="9" t="s">
        <v>9</v>
      </c>
      <c r="H363" s="9" t="s">
        <v>33</v>
      </c>
      <c r="I363" s="9">
        <v>4</v>
      </c>
      <c r="J363" s="9">
        <v>181</v>
      </c>
      <c r="K363" s="10">
        <v>724</v>
      </c>
      <c r="L363" s="9">
        <f>HOUR([1]restaurant_sales_1200!$B363)</f>
        <v>14</v>
      </c>
      <c r="M363" s="9" t="str">
        <f t="shared" si="1"/>
        <v>Wednesday</v>
      </c>
    </row>
    <row r="364" spans="1:13" x14ac:dyDescent="0.25">
      <c r="A364" s="6">
        <v>1363</v>
      </c>
      <c r="B364" s="7">
        <v>45036.898248541664</v>
      </c>
      <c r="C364" s="7">
        <v>45036.898248541664</v>
      </c>
      <c r="D364" s="8">
        <v>45036.898248541664</v>
      </c>
      <c r="E364" s="9" t="s">
        <v>222</v>
      </c>
      <c r="F364" s="9" t="s">
        <v>5</v>
      </c>
      <c r="G364" s="9" t="s">
        <v>2</v>
      </c>
      <c r="H364" s="9" t="s">
        <v>31</v>
      </c>
      <c r="I364" s="9">
        <v>4</v>
      </c>
      <c r="J364" s="9">
        <v>455</v>
      </c>
      <c r="K364" s="10">
        <v>1820</v>
      </c>
      <c r="L364" s="9">
        <f>HOUR([1]restaurant_sales_1200!$B364)</f>
        <v>21</v>
      </c>
      <c r="M364" s="9" t="str">
        <f t="shared" si="1"/>
        <v>Thursday</v>
      </c>
    </row>
    <row r="365" spans="1:13" x14ac:dyDescent="0.25">
      <c r="A365" s="6">
        <v>1364</v>
      </c>
      <c r="B365" s="7">
        <v>45037.201834861109</v>
      </c>
      <c r="C365" s="7">
        <v>45037.201834861109</v>
      </c>
      <c r="D365" s="8">
        <v>45037.201834861109</v>
      </c>
      <c r="E365" s="9" t="s">
        <v>72</v>
      </c>
      <c r="F365" s="9" t="s">
        <v>19</v>
      </c>
      <c r="G365" s="9" t="s">
        <v>9</v>
      </c>
      <c r="H365" s="9" t="s">
        <v>10</v>
      </c>
      <c r="I365" s="9">
        <v>5</v>
      </c>
      <c r="J365" s="9">
        <v>357</v>
      </c>
      <c r="K365" s="10">
        <v>1785</v>
      </c>
      <c r="L365" s="9">
        <f>HOUR([1]restaurant_sales_1200!$B365)</f>
        <v>4</v>
      </c>
      <c r="M365" s="9" t="str">
        <f t="shared" si="1"/>
        <v>Friday</v>
      </c>
    </row>
    <row r="366" spans="1:13" x14ac:dyDescent="0.25">
      <c r="A366" s="6">
        <v>1365</v>
      </c>
      <c r="B366" s="7">
        <v>45037.505421180555</v>
      </c>
      <c r="C366" s="7">
        <v>45037.505421180555</v>
      </c>
      <c r="D366" s="8">
        <v>45037.505421180555</v>
      </c>
      <c r="E366" s="9" t="s">
        <v>100</v>
      </c>
      <c r="F366" s="9" t="s">
        <v>1</v>
      </c>
      <c r="G366" s="9" t="s">
        <v>9</v>
      </c>
      <c r="H366" s="9" t="s">
        <v>10</v>
      </c>
      <c r="I366" s="9">
        <v>4</v>
      </c>
      <c r="J366" s="9">
        <v>817</v>
      </c>
      <c r="K366" s="10">
        <v>3268</v>
      </c>
      <c r="L366" s="9">
        <f>HOUR([1]restaurant_sales_1200!$B366)</f>
        <v>12</v>
      </c>
      <c r="M366" s="9" t="str">
        <f t="shared" si="1"/>
        <v>Saturday</v>
      </c>
    </row>
    <row r="367" spans="1:13" x14ac:dyDescent="0.25">
      <c r="A367" s="6">
        <v>1366</v>
      </c>
      <c r="B367" s="7">
        <v>45037.809007511576</v>
      </c>
      <c r="C367" s="7">
        <v>45037.809007511576</v>
      </c>
      <c r="D367" s="8">
        <v>45037.809007511576</v>
      </c>
      <c r="E367" s="9" t="s">
        <v>59</v>
      </c>
      <c r="F367" s="9" t="s">
        <v>1</v>
      </c>
      <c r="G367" s="9" t="s">
        <v>6</v>
      </c>
      <c r="H367" s="9" t="s">
        <v>33</v>
      </c>
      <c r="I367" s="9">
        <v>5</v>
      </c>
      <c r="J367" s="9">
        <v>688</v>
      </c>
      <c r="K367" s="10">
        <v>3440</v>
      </c>
      <c r="L367" s="9">
        <f>HOUR([1]restaurant_sales_1200!$B367)</f>
        <v>19</v>
      </c>
      <c r="M367" s="9" t="str">
        <f t="shared" si="1"/>
        <v>Sunday</v>
      </c>
    </row>
    <row r="368" spans="1:13" x14ac:dyDescent="0.25">
      <c r="A368" s="6">
        <v>1367</v>
      </c>
      <c r="B368" s="7">
        <v>45038.112593831022</v>
      </c>
      <c r="C368" s="7">
        <v>45038.112593831022</v>
      </c>
      <c r="D368" s="8">
        <v>45038.112593831022</v>
      </c>
      <c r="E368" s="9" t="s">
        <v>223</v>
      </c>
      <c r="F368" s="9" t="s">
        <v>5</v>
      </c>
      <c r="G368" s="9" t="s">
        <v>2</v>
      </c>
      <c r="H368" s="9" t="s">
        <v>24</v>
      </c>
      <c r="I368" s="9">
        <v>4</v>
      </c>
      <c r="J368" s="9">
        <v>623</v>
      </c>
      <c r="K368" s="10">
        <v>2492</v>
      </c>
      <c r="L368" s="9">
        <f>HOUR([1]restaurant_sales_1200!$B368)</f>
        <v>2</v>
      </c>
      <c r="M368" s="9" t="str">
        <f t="shared" si="1"/>
        <v>Monday</v>
      </c>
    </row>
    <row r="369" spans="1:13" x14ac:dyDescent="0.25">
      <c r="A369" s="6">
        <v>1368</v>
      </c>
      <c r="B369" s="7">
        <v>45038.41618015046</v>
      </c>
      <c r="C369" s="7">
        <v>45038.41618015046</v>
      </c>
      <c r="D369" s="8">
        <v>45038.41618015046</v>
      </c>
      <c r="E369" s="9" t="s">
        <v>168</v>
      </c>
      <c r="F369" s="9" t="s">
        <v>8</v>
      </c>
      <c r="G369" s="9" t="s">
        <v>2</v>
      </c>
      <c r="H369" s="9" t="s">
        <v>24</v>
      </c>
      <c r="I369" s="9">
        <v>3</v>
      </c>
      <c r="J369" s="9">
        <v>394</v>
      </c>
      <c r="K369" s="10">
        <v>1182</v>
      </c>
      <c r="L369" s="9">
        <f>HOUR([1]restaurant_sales_1200!$B369)</f>
        <v>9</v>
      </c>
      <c r="M369" s="9" t="str">
        <f t="shared" si="1"/>
        <v>Tuesday</v>
      </c>
    </row>
    <row r="370" spans="1:13" x14ac:dyDescent="0.25">
      <c r="A370" s="6">
        <v>1369</v>
      </c>
      <c r="B370" s="7">
        <v>45038.719766469905</v>
      </c>
      <c r="C370" s="7">
        <v>45038.719766469905</v>
      </c>
      <c r="D370" s="8">
        <v>45038.719766469905</v>
      </c>
      <c r="E370" s="9" t="s">
        <v>142</v>
      </c>
      <c r="F370" s="9" t="s">
        <v>8</v>
      </c>
      <c r="G370" s="9" t="s">
        <v>9</v>
      </c>
      <c r="H370" s="9" t="s">
        <v>33</v>
      </c>
      <c r="I370" s="9">
        <v>4</v>
      </c>
      <c r="J370" s="9">
        <v>323</v>
      </c>
      <c r="K370" s="10">
        <v>1292</v>
      </c>
      <c r="L370" s="9">
        <f>HOUR([1]restaurant_sales_1200!$B370)</f>
        <v>17</v>
      </c>
      <c r="M370" s="9" t="str">
        <f t="shared" si="1"/>
        <v>Wednesday</v>
      </c>
    </row>
    <row r="371" spans="1:13" x14ac:dyDescent="0.25">
      <c r="A371" s="6">
        <v>1370</v>
      </c>
      <c r="B371" s="7">
        <v>45039.023352789351</v>
      </c>
      <c r="C371" s="7">
        <v>45039.023352789351</v>
      </c>
      <c r="D371" s="8">
        <v>45039.023352789351</v>
      </c>
      <c r="E371" s="9" t="s">
        <v>224</v>
      </c>
      <c r="F371" s="9" t="s">
        <v>1</v>
      </c>
      <c r="G371" s="9" t="s">
        <v>2</v>
      </c>
      <c r="H371" s="9" t="s">
        <v>31</v>
      </c>
      <c r="I371" s="9">
        <v>5</v>
      </c>
      <c r="J371" s="9">
        <v>624</v>
      </c>
      <c r="K371" s="10">
        <v>3120</v>
      </c>
      <c r="L371" s="9">
        <f>HOUR([1]restaurant_sales_1200!$B371)</f>
        <v>0</v>
      </c>
      <c r="M371" s="9" t="str">
        <f t="shared" si="1"/>
        <v>Thursday</v>
      </c>
    </row>
    <row r="372" spans="1:13" x14ac:dyDescent="0.25">
      <c r="A372" s="6">
        <v>1371</v>
      </c>
      <c r="B372" s="7">
        <v>45039.326939120372</v>
      </c>
      <c r="C372" s="7">
        <v>45039.326939120372</v>
      </c>
      <c r="D372" s="8">
        <v>45039.326939120372</v>
      </c>
      <c r="E372" s="9" t="s">
        <v>134</v>
      </c>
      <c r="F372" s="9" t="s">
        <v>1</v>
      </c>
      <c r="G372" s="9" t="s">
        <v>6</v>
      </c>
      <c r="H372" s="9" t="s">
        <v>26</v>
      </c>
      <c r="I372" s="9">
        <v>2</v>
      </c>
      <c r="J372" s="9">
        <v>145</v>
      </c>
      <c r="K372" s="10">
        <v>290</v>
      </c>
      <c r="L372" s="9">
        <f>HOUR([1]restaurant_sales_1200!$B372)</f>
        <v>7</v>
      </c>
      <c r="M372" s="9" t="str">
        <f t="shared" si="1"/>
        <v>Friday</v>
      </c>
    </row>
    <row r="373" spans="1:13" x14ac:dyDescent="0.25">
      <c r="A373" s="6">
        <v>1372</v>
      </c>
      <c r="B373" s="7">
        <v>45039.630525439818</v>
      </c>
      <c r="C373" s="7">
        <v>45039.630525439818</v>
      </c>
      <c r="D373" s="8">
        <v>45039.630525439818</v>
      </c>
      <c r="E373" s="9" t="s">
        <v>70</v>
      </c>
      <c r="F373" s="9" t="s">
        <v>8</v>
      </c>
      <c r="G373" s="9" t="s">
        <v>6</v>
      </c>
      <c r="H373" s="9" t="s">
        <v>26</v>
      </c>
      <c r="I373" s="9">
        <v>4</v>
      </c>
      <c r="J373" s="9">
        <v>766</v>
      </c>
      <c r="K373" s="10">
        <v>3064</v>
      </c>
      <c r="L373" s="9">
        <f>HOUR([1]restaurant_sales_1200!$B373)</f>
        <v>15</v>
      </c>
      <c r="M373" s="9" t="str">
        <f t="shared" si="1"/>
        <v>Saturday</v>
      </c>
    </row>
    <row r="374" spans="1:13" x14ac:dyDescent="0.25">
      <c r="A374" s="6">
        <v>1373</v>
      </c>
      <c r="B374" s="7">
        <v>45039.934111759256</v>
      </c>
      <c r="C374" s="7">
        <v>45039.934111759256</v>
      </c>
      <c r="D374" s="8">
        <v>45039.934111759256</v>
      </c>
      <c r="E374" s="9" t="s">
        <v>197</v>
      </c>
      <c r="F374" s="9" t="s">
        <v>1</v>
      </c>
      <c r="G374" s="9" t="s">
        <v>15</v>
      </c>
      <c r="H374" s="9" t="s">
        <v>3</v>
      </c>
      <c r="I374" s="9">
        <v>2</v>
      </c>
      <c r="J374" s="9">
        <v>212</v>
      </c>
      <c r="K374" s="10">
        <v>424</v>
      </c>
      <c r="L374" s="9">
        <f>HOUR([1]restaurant_sales_1200!$B374)</f>
        <v>22</v>
      </c>
      <c r="M374" s="9" t="str">
        <f t="shared" si="1"/>
        <v>Sunday</v>
      </c>
    </row>
    <row r="375" spans="1:13" x14ac:dyDescent="0.25">
      <c r="A375" s="6">
        <v>1374</v>
      </c>
      <c r="B375" s="7">
        <v>45040.237698078701</v>
      </c>
      <c r="C375" s="7">
        <v>45040.237698078701</v>
      </c>
      <c r="D375" s="8">
        <v>45040.237698078701</v>
      </c>
      <c r="E375" s="9" t="s">
        <v>50</v>
      </c>
      <c r="F375" s="9" t="s">
        <v>5</v>
      </c>
      <c r="G375" s="9" t="s">
        <v>6</v>
      </c>
      <c r="H375" s="9" t="s">
        <v>24</v>
      </c>
      <c r="I375" s="9">
        <v>3</v>
      </c>
      <c r="J375" s="9">
        <v>332</v>
      </c>
      <c r="K375" s="10">
        <v>996</v>
      </c>
      <c r="L375" s="9">
        <f>HOUR([1]restaurant_sales_1200!$B375)</f>
        <v>5</v>
      </c>
      <c r="M375" s="9" t="str">
        <f t="shared" si="1"/>
        <v>Monday</v>
      </c>
    </row>
    <row r="376" spans="1:13" x14ac:dyDescent="0.25">
      <c r="A376" s="6">
        <v>1375</v>
      </c>
      <c r="B376" s="7">
        <v>45040.541284398147</v>
      </c>
      <c r="C376" s="7">
        <v>45040.541284398147</v>
      </c>
      <c r="D376" s="8">
        <v>45040.541284398147</v>
      </c>
      <c r="E376" s="9" t="s">
        <v>74</v>
      </c>
      <c r="F376" s="9" t="s">
        <v>5</v>
      </c>
      <c r="G376" s="9" t="s">
        <v>15</v>
      </c>
      <c r="H376" s="9" t="s">
        <v>24</v>
      </c>
      <c r="I376" s="9">
        <v>1</v>
      </c>
      <c r="J376" s="9">
        <v>116</v>
      </c>
      <c r="K376" s="10">
        <v>116</v>
      </c>
      <c r="L376" s="9">
        <f>HOUR([1]restaurant_sales_1200!$B376)</f>
        <v>12</v>
      </c>
      <c r="M376" s="9" t="str">
        <f t="shared" si="1"/>
        <v>Tuesday</v>
      </c>
    </row>
    <row r="377" spans="1:13" x14ac:dyDescent="0.25">
      <c r="A377" s="6">
        <v>1376</v>
      </c>
      <c r="B377" s="7">
        <v>45040.844870729168</v>
      </c>
      <c r="C377" s="7">
        <v>45040.844870729168</v>
      </c>
      <c r="D377" s="8">
        <v>45040.844870729168</v>
      </c>
      <c r="E377" s="9" t="s">
        <v>175</v>
      </c>
      <c r="F377" s="9" t="s">
        <v>19</v>
      </c>
      <c r="G377" s="9" t="s">
        <v>9</v>
      </c>
      <c r="H377" s="9" t="s">
        <v>20</v>
      </c>
      <c r="I377" s="9">
        <v>3</v>
      </c>
      <c r="J377" s="9">
        <v>459</v>
      </c>
      <c r="K377" s="10">
        <v>1377</v>
      </c>
      <c r="L377" s="9">
        <f>HOUR([1]restaurant_sales_1200!$B377)</f>
        <v>20</v>
      </c>
      <c r="M377" s="9" t="str">
        <f t="shared" si="1"/>
        <v>Wednesday</v>
      </c>
    </row>
    <row r="378" spans="1:13" x14ac:dyDescent="0.25">
      <c r="A378" s="6">
        <v>1377</v>
      </c>
      <c r="B378" s="7">
        <v>45041.148457048614</v>
      </c>
      <c r="C378" s="7">
        <v>45041.148457048614</v>
      </c>
      <c r="D378" s="8">
        <v>45041.148457048614</v>
      </c>
      <c r="E378" s="9" t="s">
        <v>17</v>
      </c>
      <c r="F378" s="9" t="s">
        <v>8</v>
      </c>
      <c r="G378" s="9" t="s">
        <v>15</v>
      </c>
      <c r="H378" s="9" t="s">
        <v>16</v>
      </c>
      <c r="I378" s="9">
        <v>4</v>
      </c>
      <c r="J378" s="9">
        <v>322</v>
      </c>
      <c r="K378" s="10">
        <v>1288</v>
      </c>
      <c r="L378" s="9">
        <f>HOUR([1]restaurant_sales_1200!$B378)</f>
        <v>3</v>
      </c>
      <c r="M378" s="9" t="str">
        <f t="shared" si="1"/>
        <v>Thursday</v>
      </c>
    </row>
    <row r="379" spans="1:13" x14ac:dyDescent="0.25">
      <c r="A379" s="6">
        <v>1378</v>
      </c>
      <c r="B379" s="7">
        <v>45041.452043368059</v>
      </c>
      <c r="C379" s="7">
        <v>45041.452043368059</v>
      </c>
      <c r="D379" s="8">
        <v>45041.452043368059</v>
      </c>
      <c r="E379" s="9" t="s">
        <v>73</v>
      </c>
      <c r="F379" s="9" t="s">
        <v>1</v>
      </c>
      <c r="G379" s="9" t="s">
        <v>15</v>
      </c>
      <c r="H379" s="9" t="s">
        <v>13</v>
      </c>
      <c r="I379" s="9">
        <v>2</v>
      </c>
      <c r="J379" s="9">
        <v>965</v>
      </c>
      <c r="K379" s="10">
        <v>1930</v>
      </c>
      <c r="L379" s="9">
        <f>HOUR([1]restaurant_sales_1200!$B379)</f>
        <v>10</v>
      </c>
      <c r="M379" s="9" t="str">
        <f t="shared" si="1"/>
        <v>Friday</v>
      </c>
    </row>
    <row r="380" spans="1:13" x14ac:dyDescent="0.25">
      <c r="A380" s="6">
        <v>1379</v>
      </c>
      <c r="B380" s="7">
        <v>45041.755629687497</v>
      </c>
      <c r="C380" s="7">
        <v>45041.755629687497</v>
      </c>
      <c r="D380" s="8">
        <v>45041.755629687497</v>
      </c>
      <c r="E380" s="9" t="s">
        <v>225</v>
      </c>
      <c r="F380" s="9" t="s">
        <v>19</v>
      </c>
      <c r="G380" s="9" t="s">
        <v>9</v>
      </c>
      <c r="H380" s="9" t="s">
        <v>13</v>
      </c>
      <c r="I380" s="9">
        <v>2</v>
      </c>
      <c r="J380" s="9">
        <v>799</v>
      </c>
      <c r="K380" s="10">
        <v>1598</v>
      </c>
      <c r="L380" s="9">
        <f>HOUR([1]restaurant_sales_1200!$B380)</f>
        <v>18</v>
      </c>
      <c r="M380" s="9" t="str">
        <f t="shared" si="1"/>
        <v>Saturday</v>
      </c>
    </row>
    <row r="381" spans="1:13" x14ac:dyDescent="0.25">
      <c r="A381" s="6">
        <v>1380</v>
      </c>
      <c r="B381" s="7">
        <v>45042.059216018519</v>
      </c>
      <c r="C381" s="7">
        <v>45042.059216018519</v>
      </c>
      <c r="D381" s="8">
        <v>45042.059216018519</v>
      </c>
      <c r="E381" s="9" t="s">
        <v>165</v>
      </c>
      <c r="F381" s="9" t="s">
        <v>5</v>
      </c>
      <c r="G381" s="9" t="s">
        <v>15</v>
      </c>
      <c r="H381" s="9" t="s">
        <v>33</v>
      </c>
      <c r="I381" s="9">
        <v>5</v>
      </c>
      <c r="J381" s="9">
        <v>547</v>
      </c>
      <c r="K381" s="10">
        <v>2735</v>
      </c>
      <c r="L381" s="9">
        <f>HOUR([1]restaurant_sales_1200!$B381)</f>
        <v>1</v>
      </c>
      <c r="M381" s="9" t="str">
        <f t="shared" si="1"/>
        <v>Sunday</v>
      </c>
    </row>
    <row r="382" spans="1:13" x14ac:dyDescent="0.25">
      <c r="A382" s="6">
        <v>1381</v>
      </c>
      <c r="B382" s="7">
        <v>45042.362802337964</v>
      </c>
      <c r="C382" s="7">
        <v>45042.362802337964</v>
      </c>
      <c r="D382" s="8">
        <v>45042.362802337964</v>
      </c>
      <c r="E382" s="9" t="s">
        <v>44</v>
      </c>
      <c r="F382" s="9" t="s">
        <v>8</v>
      </c>
      <c r="G382" s="9" t="s">
        <v>6</v>
      </c>
      <c r="H382" s="9" t="s">
        <v>20</v>
      </c>
      <c r="I382" s="9">
        <v>2</v>
      </c>
      <c r="J382" s="9">
        <v>955</v>
      </c>
      <c r="K382" s="10">
        <v>1910</v>
      </c>
      <c r="L382" s="9">
        <f>HOUR([1]restaurant_sales_1200!$B382)</f>
        <v>8</v>
      </c>
      <c r="M382" s="9" t="str">
        <f t="shared" si="1"/>
        <v>Monday</v>
      </c>
    </row>
    <row r="383" spans="1:13" x14ac:dyDescent="0.25">
      <c r="A383" s="6">
        <v>1382</v>
      </c>
      <c r="B383" s="7">
        <v>45042.66638865741</v>
      </c>
      <c r="C383" s="7">
        <v>45042.66638865741</v>
      </c>
      <c r="D383" s="8">
        <v>45042.66638865741</v>
      </c>
      <c r="E383" s="9" t="s">
        <v>159</v>
      </c>
      <c r="F383" s="9" t="s">
        <v>5</v>
      </c>
      <c r="G383" s="9" t="s">
        <v>9</v>
      </c>
      <c r="H383" s="9" t="s">
        <v>16</v>
      </c>
      <c r="I383" s="9">
        <v>5</v>
      </c>
      <c r="J383" s="9">
        <v>464</v>
      </c>
      <c r="K383" s="10">
        <v>2320</v>
      </c>
      <c r="L383" s="9">
        <f>HOUR([1]restaurant_sales_1200!$B383)</f>
        <v>15</v>
      </c>
      <c r="M383" s="9" t="str">
        <f t="shared" si="1"/>
        <v>Tuesday</v>
      </c>
    </row>
    <row r="384" spans="1:13" x14ac:dyDescent="0.25">
      <c r="A384" s="6">
        <v>1383</v>
      </c>
      <c r="B384" s="7">
        <v>45042.969974976855</v>
      </c>
      <c r="C384" s="7">
        <v>45042.969974976855</v>
      </c>
      <c r="D384" s="8">
        <v>45042.969974976855</v>
      </c>
      <c r="E384" s="9" t="s">
        <v>71</v>
      </c>
      <c r="F384" s="9" t="s">
        <v>1</v>
      </c>
      <c r="G384" s="9" t="s">
        <v>2</v>
      </c>
      <c r="H384" s="9" t="s">
        <v>13</v>
      </c>
      <c r="I384" s="9">
        <v>1</v>
      </c>
      <c r="J384" s="9">
        <v>774</v>
      </c>
      <c r="K384" s="10">
        <v>774</v>
      </c>
      <c r="L384" s="9">
        <f>HOUR([1]restaurant_sales_1200!$B384)</f>
        <v>23</v>
      </c>
      <c r="M384" s="9" t="str">
        <f t="shared" si="1"/>
        <v>Wednesday</v>
      </c>
    </row>
    <row r="385" spans="1:13" x14ac:dyDescent="0.25">
      <c r="A385" s="6">
        <v>1384</v>
      </c>
      <c r="B385" s="7">
        <v>45043.273561296293</v>
      </c>
      <c r="C385" s="7">
        <v>45043.273561296293</v>
      </c>
      <c r="D385" s="8">
        <v>45043.273561296293</v>
      </c>
      <c r="E385" s="9" t="s">
        <v>226</v>
      </c>
      <c r="F385" s="9" t="s">
        <v>19</v>
      </c>
      <c r="G385" s="9" t="s">
        <v>15</v>
      </c>
      <c r="H385" s="9" t="s">
        <v>24</v>
      </c>
      <c r="I385" s="9">
        <v>4</v>
      </c>
      <c r="J385" s="9">
        <v>425</v>
      </c>
      <c r="K385" s="10">
        <v>1700</v>
      </c>
      <c r="L385" s="9">
        <f>HOUR([1]restaurant_sales_1200!$B385)</f>
        <v>6</v>
      </c>
      <c r="M385" s="9" t="str">
        <f t="shared" si="1"/>
        <v>Thursday</v>
      </c>
    </row>
    <row r="386" spans="1:13" x14ac:dyDescent="0.25">
      <c r="A386" s="6">
        <v>1385</v>
      </c>
      <c r="B386" s="7">
        <v>45043.577147627315</v>
      </c>
      <c r="C386" s="7">
        <v>45043.577147627315</v>
      </c>
      <c r="D386" s="8">
        <v>45043.577147627315</v>
      </c>
      <c r="E386" s="9" t="s">
        <v>227</v>
      </c>
      <c r="F386" s="9" t="s">
        <v>1</v>
      </c>
      <c r="G386" s="9" t="s">
        <v>6</v>
      </c>
      <c r="H386" s="9" t="s">
        <v>26</v>
      </c>
      <c r="I386" s="9">
        <v>5</v>
      </c>
      <c r="J386" s="9">
        <v>566</v>
      </c>
      <c r="K386" s="10">
        <v>2830</v>
      </c>
      <c r="L386" s="9">
        <f>HOUR([1]restaurant_sales_1200!$B386)</f>
        <v>13</v>
      </c>
      <c r="M386" s="9" t="str">
        <f t="shared" si="1"/>
        <v>Friday</v>
      </c>
    </row>
    <row r="387" spans="1:13" x14ac:dyDescent="0.25">
      <c r="A387" s="6">
        <v>1386</v>
      </c>
      <c r="B387" s="7">
        <v>45043.88073394676</v>
      </c>
      <c r="C387" s="7">
        <v>45043.88073394676</v>
      </c>
      <c r="D387" s="8">
        <v>45043.88073394676</v>
      </c>
      <c r="E387" s="9" t="s">
        <v>4</v>
      </c>
      <c r="F387" s="9" t="s">
        <v>1</v>
      </c>
      <c r="G387" s="9" t="s">
        <v>2</v>
      </c>
      <c r="H387" s="9" t="s">
        <v>26</v>
      </c>
      <c r="I387" s="9">
        <v>1</v>
      </c>
      <c r="J387" s="9">
        <v>513</v>
      </c>
      <c r="K387" s="10">
        <v>513</v>
      </c>
      <c r="L387" s="9">
        <f>HOUR([1]restaurant_sales_1200!$B387)</f>
        <v>21</v>
      </c>
      <c r="M387" s="9" t="str">
        <f t="shared" si="1"/>
        <v>Saturday</v>
      </c>
    </row>
    <row r="388" spans="1:13" x14ac:dyDescent="0.25">
      <c r="A388" s="6">
        <v>1387</v>
      </c>
      <c r="B388" s="7">
        <v>45044.184320266206</v>
      </c>
      <c r="C388" s="7">
        <v>45044.184320266206</v>
      </c>
      <c r="D388" s="8">
        <v>45044.184320266206</v>
      </c>
      <c r="E388" s="9" t="s">
        <v>122</v>
      </c>
      <c r="F388" s="9" t="s">
        <v>8</v>
      </c>
      <c r="G388" s="9" t="s">
        <v>9</v>
      </c>
      <c r="H388" s="9" t="s">
        <v>16</v>
      </c>
      <c r="I388" s="9">
        <v>2</v>
      </c>
      <c r="J388" s="9">
        <v>554</v>
      </c>
      <c r="K388" s="10">
        <v>1108</v>
      </c>
      <c r="L388" s="9">
        <f>HOUR([1]restaurant_sales_1200!$B388)</f>
        <v>4</v>
      </c>
      <c r="M388" s="9" t="str">
        <f t="shared" si="1"/>
        <v>Sunday</v>
      </c>
    </row>
    <row r="389" spans="1:13" x14ac:dyDescent="0.25">
      <c r="A389" s="6">
        <v>1388</v>
      </c>
      <c r="B389" s="7">
        <v>45044.487906585651</v>
      </c>
      <c r="C389" s="7">
        <v>45044.487906585651</v>
      </c>
      <c r="D389" s="8">
        <v>45044.487906585651</v>
      </c>
      <c r="E389" s="9" t="s">
        <v>218</v>
      </c>
      <c r="F389" s="9" t="s">
        <v>8</v>
      </c>
      <c r="G389" s="9" t="s">
        <v>9</v>
      </c>
      <c r="H389" s="9" t="s">
        <v>13</v>
      </c>
      <c r="I389" s="9">
        <v>2</v>
      </c>
      <c r="J389" s="9">
        <v>685</v>
      </c>
      <c r="K389" s="10">
        <v>1370</v>
      </c>
      <c r="L389" s="9">
        <f>HOUR([1]restaurant_sales_1200!$B389)</f>
        <v>11</v>
      </c>
      <c r="M389" s="9" t="str">
        <f t="shared" si="1"/>
        <v>Monday</v>
      </c>
    </row>
    <row r="390" spans="1:13" x14ac:dyDescent="0.25">
      <c r="A390" s="6">
        <v>1389</v>
      </c>
      <c r="B390" s="7">
        <v>45044.791492905089</v>
      </c>
      <c r="C390" s="7">
        <v>45044.791492905089</v>
      </c>
      <c r="D390" s="8">
        <v>45044.791492905089</v>
      </c>
      <c r="E390" s="9" t="s">
        <v>169</v>
      </c>
      <c r="F390" s="9" t="s">
        <v>1</v>
      </c>
      <c r="G390" s="9" t="s">
        <v>9</v>
      </c>
      <c r="H390" s="9" t="s">
        <v>16</v>
      </c>
      <c r="I390" s="9">
        <v>1</v>
      </c>
      <c r="J390" s="9">
        <v>332</v>
      </c>
      <c r="K390" s="10">
        <v>332</v>
      </c>
      <c r="L390" s="9">
        <f>HOUR([1]restaurant_sales_1200!$B390)</f>
        <v>18</v>
      </c>
      <c r="M390" s="9" t="str">
        <f t="shared" si="1"/>
        <v>Tuesday</v>
      </c>
    </row>
    <row r="391" spans="1:13" x14ac:dyDescent="0.25">
      <c r="A391" s="6">
        <v>1390</v>
      </c>
      <c r="B391" s="7">
        <v>45045.095079236111</v>
      </c>
      <c r="C391" s="7">
        <v>45045.095079236111</v>
      </c>
      <c r="D391" s="8">
        <v>45045.095079236111</v>
      </c>
      <c r="E391" s="9" t="s">
        <v>175</v>
      </c>
      <c r="F391" s="9" t="s">
        <v>8</v>
      </c>
      <c r="G391" s="9" t="s">
        <v>6</v>
      </c>
      <c r="H391" s="9" t="s">
        <v>31</v>
      </c>
      <c r="I391" s="9">
        <v>2</v>
      </c>
      <c r="J391" s="9">
        <v>323</v>
      </c>
      <c r="K391" s="10">
        <v>646</v>
      </c>
      <c r="L391" s="9">
        <f>HOUR([1]restaurant_sales_1200!$B391)</f>
        <v>2</v>
      </c>
      <c r="M391" s="9" t="str">
        <f t="shared" si="1"/>
        <v>Wednesday</v>
      </c>
    </row>
    <row r="392" spans="1:13" x14ac:dyDescent="0.25">
      <c r="A392" s="6">
        <v>1391</v>
      </c>
      <c r="B392" s="7">
        <v>45045.398665555556</v>
      </c>
      <c r="C392" s="7">
        <v>45045.398665555556</v>
      </c>
      <c r="D392" s="8">
        <v>45045.398665555556</v>
      </c>
      <c r="E392" s="9" t="s">
        <v>75</v>
      </c>
      <c r="F392" s="9" t="s">
        <v>19</v>
      </c>
      <c r="G392" s="9" t="s">
        <v>2</v>
      </c>
      <c r="H392" s="9" t="s">
        <v>31</v>
      </c>
      <c r="I392" s="9">
        <v>1</v>
      </c>
      <c r="J392" s="9">
        <v>930</v>
      </c>
      <c r="K392" s="10">
        <v>930</v>
      </c>
      <c r="L392" s="9">
        <f>HOUR([1]restaurant_sales_1200!$B392)</f>
        <v>9</v>
      </c>
      <c r="M392" s="9" t="str">
        <f t="shared" si="1"/>
        <v>Thursday</v>
      </c>
    </row>
    <row r="393" spans="1:13" x14ac:dyDescent="0.25">
      <c r="A393" s="6">
        <v>1392</v>
      </c>
      <c r="B393" s="7">
        <v>45045.702251875002</v>
      </c>
      <c r="C393" s="7">
        <v>45045.702251875002</v>
      </c>
      <c r="D393" s="8">
        <v>45045.702251875002</v>
      </c>
      <c r="E393" s="9" t="s">
        <v>42</v>
      </c>
      <c r="F393" s="9" t="s">
        <v>19</v>
      </c>
      <c r="G393" s="9" t="s">
        <v>9</v>
      </c>
      <c r="H393" s="9" t="s">
        <v>20</v>
      </c>
      <c r="I393" s="9">
        <v>5</v>
      </c>
      <c r="J393" s="9">
        <v>511</v>
      </c>
      <c r="K393" s="10">
        <v>2555</v>
      </c>
      <c r="L393" s="9">
        <f>HOUR([1]restaurant_sales_1200!$B393)</f>
        <v>16</v>
      </c>
      <c r="M393" s="9" t="str">
        <f t="shared" si="1"/>
        <v>Friday</v>
      </c>
    </row>
    <row r="394" spans="1:13" x14ac:dyDescent="0.25">
      <c r="A394" s="6">
        <v>1393</v>
      </c>
      <c r="B394" s="7">
        <v>45046.005838194447</v>
      </c>
      <c r="C394" s="7">
        <v>45046.005838194447</v>
      </c>
      <c r="D394" s="8">
        <v>45046.005838194447</v>
      </c>
      <c r="E394" s="9" t="s">
        <v>174</v>
      </c>
      <c r="F394" s="9" t="s">
        <v>1</v>
      </c>
      <c r="G394" s="9" t="s">
        <v>6</v>
      </c>
      <c r="H394" s="9" t="s">
        <v>33</v>
      </c>
      <c r="I394" s="9">
        <v>5</v>
      </c>
      <c r="J394" s="9">
        <v>671</v>
      </c>
      <c r="K394" s="10">
        <v>3355</v>
      </c>
      <c r="L394" s="9">
        <f>HOUR([1]restaurant_sales_1200!$B394)</f>
        <v>0</v>
      </c>
      <c r="M394" s="9" t="str">
        <f t="shared" si="1"/>
        <v>Saturday</v>
      </c>
    </row>
    <row r="395" spans="1:13" x14ac:dyDescent="0.25">
      <c r="A395" s="6">
        <v>1394</v>
      </c>
      <c r="B395" s="7">
        <v>45046.309424525462</v>
      </c>
      <c r="C395" s="7">
        <v>45046.309424525462</v>
      </c>
      <c r="D395" s="8">
        <v>45046.309424525462</v>
      </c>
      <c r="E395" s="9" t="s">
        <v>111</v>
      </c>
      <c r="F395" s="9" t="s">
        <v>19</v>
      </c>
      <c r="G395" s="9" t="s">
        <v>30</v>
      </c>
      <c r="H395" s="9" t="s">
        <v>13</v>
      </c>
      <c r="I395" s="9">
        <v>1</v>
      </c>
      <c r="J395" s="9">
        <v>434</v>
      </c>
      <c r="K395" s="10">
        <v>434</v>
      </c>
      <c r="L395" s="9">
        <f>HOUR([1]restaurant_sales_1200!$B395)</f>
        <v>7</v>
      </c>
      <c r="M395" s="9" t="str">
        <f t="shared" si="1"/>
        <v>Sunday</v>
      </c>
    </row>
    <row r="396" spans="1:13" x14ac:dyDescent="0.25">
      <c r="A396" s="6">
        <v>1395</v>
      </c>
      <c r="B396" s="7">
        <v>45046.613010844907</v>
      </c>
      <c r="C396" s="7">
        <v>45046.613010844907</v>
      </c>
      <c r="D396" s="8">
        <v>45046.613010844907</v>
      </c>
      <c r="E396" s="9" t="s">
        <v>228</v>
      </c>
      <c r="F396" s="9" t="s">
        <v>1</v>
      </c>
      <c r="G396" s="9" t="s">
        <v>6</v>
      </c>
      <c r="H396" s="9" t="s">
        <v>13</v>
      </c>
      <c r="I396" s="9">
        <v>5</v>
      </c>
      <c r="J396" s="9">
        <v>321</v>
      </c>
      <c r="K396" s="10">
        <v>1605</v>
      </c>
      <c r="L396" s="9">
        <f>HOUR([1]restaurant_sales_1200!$B396)</f>
        <v>14</v>
      </c>
      <c r="M396" s="9" t="str">
        <f t="shared" si="1"/>
        <v>Monday</v>
      </c>
    </row>
    <row r="397" spans="1:13" x14ac:dyDescent="0.25">
      <c r="A397" s="6">
        <v>1396</v>
      </c>
      <c r="B397" s="7">
        <v>45046.916597164352</v>
      </c>
      <c r="C397" s="7">
        <v>45046.916597164352</v>
      </c>
      <c r="D397" s="8">
        <v>45046.916597164352</v>
      </c>
      <c r="E397" s="9" t="s">
        <v>229</v>
      </c>
      <c r="F397" s="9" t="s">
        <v>19</v>
      </c>
      <c r="G397" s="9" t="s">
        <v>30</v>
      </c>
      <c r="H397" s="9" t="s">
        <v>3</v>
      </c>
      <c r="I397" s="9">
        <v>5</v>
      </c>
      <c r="J397" s="9">
        <v>136</v>
      </c>
      <c r="K397" s="10">
        <v>680</v>
      </c>
      <c r="L397" s="9">
        <f>HOUR([1]restaurant_sales_1200!$B397)</f>
        <v>21</v>
      </c>
      <c r="M397" s="9" t="str">
        <f t="shared" si="1"/>
        <v>Tuesday</v>
      </c>
    </row>
    <row r="398" spans="1:13" x14ac:dyDescent="0.25">
      <c r="A398" s="6">
        <v>1397</v>
      </c>
      <c r="B398" s="7">
        <v>45047.220183483798</v>
      </c>
      <c r="C398" s="7">
        <v>45047.220183483798</v>
      </c>
      <c r="D398" s="8">
        <v>45047.220183483798</v>
      </c>
      <c r="E398" s="9" t="s">
        <v>230</v>
      </c>
      <c r="F398" s="9" t="s">
        <v>5</v>
      </c>
      <c r="G398" s="9" t="s">
        <v>2</v>
      </c>
      <c r="H398" s="9" t="s">
        <v>24</v>
      </c>
      <c r="I398" s="9">
        <v>5</v>
      </c>
      <c r="J398" s="9">
        <v>377</v>
      </c>
      <c r="K398" s="10">
        <v>1885</v>
      </c>
      <c r="L398" s="9">
        <f>HOUR([1]restaurant_sales_1200!$B398)</f>
        <v>5</v>
      </c>
      <c r="M398" s="9" t="str">
        <f t="shared" si="1"/>
        <v>Wednesday</v>
      </c>
    </row>
    <row r="399" spans="1:13" x14ac:dyDescent="0.25">
      <c r="A399" s="6">
        <v>1398</v>
      </c>
      <c r="B399" s="7">
        <v>45047.523769803243</v>
      </c>
      <c r="C399" s="7">
        <v>45047.523769803243</v>
      </c>
      <c r="D399" s="8">
        <v>45047.523769803243</v>
      </c>
      <c r="E399" s="9" t="s">
        <v>146</v>
      </c>
      <c r="F399" s="9" t="s">
        <v>1</v>
      </c>
      <c r="G399" s="9" t="s">
        <v>9</v>
      </c>
      <c r="H399" s="9" t="s">
        <v>24</v>
      </c>
      <c r="I399" s="9">
        <v>3</v>
      </c>
      <c r="J399" s="9">
        <v>295</v>
      </c>
      <c r="K399" s="10">
        <v>885</v>
      </c>
      <c r="L399" s="9">
        <f>HOUR([1]restaurant_sales_1200!$B399)</f>
        <v>12</v>
      </c>
      <c r="M399" s="9" t="str">
        <f t="shared" si="1"/>
        <v>Thursday</v>
      </c>
    </row>
    <row r="400" spans="1:13" x14ac:dyDescent="0.25">
      <c r="A400" s="6">
        <v>1399</v>
      </c>
      <c r="B400" s="7">
        <v>45047.827356134258</v>
      </c>
      <c r="C400" s="7">
        <v>45047.827356134258</v>
      </c>
      <c r="D400" s="8">
        <v>45047.827356134258</v>
      </c>
      <c r="E400" s="9" t="s">
        <v>54</v>
      </c>
      <c r="F400" s="9" t="s">
        <v>19</v>
      </c>
      <c r="G400" s="9" t="s">
        <v>9</v>
      </c>
      <c r="H400" s="9" t="s">
        <v>13</v>
      </c>
      <c r="I400" s="9">
        <v>4</v>
      </c>
      <c r="J400" s="9">
        <v>963</v>
      </c>
      <c r="K400" s="10">
        <v>3852</v>
      </c>
      <c r="L400" s="9">
        <f>HOUR([1]restaurant_sales_1200!$B400)</f>
        <v>19</v>
      </c>
      <c r="M400" s="9" t="str">
        <f t="shared" si="1"/>
        <v>Friday</v>
      </c>
    </row>
    <row r="401" spans="1:13" x14ac:dyDescent="0.25">
      <c r="A401" s="6">
        <v>1400</v>
      </c>
      <c r="B401" s="7">
        <v>45048.130942453703</v>
      </c>
      <c r="C401" s="7">
        <v>45048.130942453703</v>
      </c>
      <c r="D401" s="8">
        <v>45048.130942453703</v>
      </c>
      <c r="E401" s="9" t="s">
        <v>231</v>
      </c>
      <c r="F401" s="9" t="s">
        <v>5</v>
      </c>
      <c r="G401" s="9" t="s">
        <v>15</v>
      </c>
      <c r="H401" s="9" t="s">
        <v>31</v>
      </c>
      <c r="I401" s="9">
        <v>2</v>
      </c>
      <c r="J401" s="9">
        <v>583</v>
      </c>
      <c r="K401" s="10">
        <v>1166</v>
      </c>
      <c r="L401" s="9">
        <f>HOUR([1]restaurant_sales_1200!$B401)</f>
        <v>3</v>
      </c>
      <c r="M401" s="9" t="str">
        <f t="shared" si="1"/>
        <v>Saturday</v>
      </c>
    </row>
    <row r="402" spans="1:13" x14ac:dyDescent="0.25">
      <c r="A402" s="6">
        <v>1401</v>
      </c>
      <c r="B402" s="7">
        <v>45048.434528773148</v>
      </c>
      <c r="C402" s="7">
        <v>45048.434528773148</v>
      </c>
      <c r="D402" s="8">
        <v>45048.434528773148</v>
      </c>
      <c r="E402" s="9" t="s">
        <v>232</v>
      </c>
      <c r="F402" s="9" t="s">
        <v>1</v>
      </c>
      <c r="G402" s="9" t="s">
        <v>9</v>
      </c>
      <c r="H402" s="9" t="s">
        <v>33</v>
      </c>
      <c r="I402" s="9">
        <v>3</v>
      </c>
      <c r="J402" s="9">
        <v>341</v>
      </c>
      <c r="K402" s="10">
        <v>1023</v>
      </c>
      <c r="L402" s="9">
        <f>HOUR([1]restaurant_sales_1200!$B402)</f>
        <v>10</v>
      </c>
      <c r="M402" s="9" t="str">
        <f t="shared" si="1"/>
        <v>Sunday</v>
      </c>
    </row>
    <row r="403" spans="1:13" x14ac:dyDescent="0.25">
      <c r="A403" s="6">
        <v>1402</v>
      </c>
      <c r="B403" s="7">
        <v>45048.738115092594</v>
      </c>
      <c r="C403" s="7">
        <v>45048.738115092594</v>
      </c>
      <c r="D403" s="8">
        <v>45048.738115092594</v>
      </c>
      <c r="E403" s="9" t="s">
        <v>66</v>
      </c>
      <c r="F403" s="9" t="s">
        <v>19</v>
      </c>
      <c r="G403" s="9" t="s">
        <v>2</v>
      </c>
      <c r="H403" s="9" t="s">
        <v>47</v>
      </c>
      <c r="I403" s="9">
        <v>5</v>
      </c>
      <c r="J403" s="9">
        <v>423</v>
      </c>
      <c r="K403" s="10">
        <v>2115</v>
      </c>
      <c r="L403" s="9">
        <f>HOUR([1]restaurant_sales_1200!$B403)</f>
        <v>17</v>
      </c>
      <c r="M403" s="9" t="str">
        <f t="shared" si="1"/>
        <v>Monday</v>
      </c>
    </row>
    <row r="404" spans="1:13" x14ac:dyDescent="0.25">
      <c r="A404" s="6">
        <v>1403</v>
      </c>
      <c r="B404" s="7">
        <v>45049.041701423608</v>
      </c>
      <c r="C404" s="7">
        <v>45049.041701423608</v>
      </c>
      <c r="D404" s="8">
        <v>45049.041701423608</v>
      </c>
      <c r="E404" s="9" t="s">
        <v>12</v>
      </c>
      <c r="F404" s="9" t="s">
        <v>19</v>
      </c>
      <c r="G404" s="9" t="s">
        <v>6</v>
      </c>
      <c r="H404" s="9" t="s">
        <v>16</v>
      </c>
      <c r="I404" s="9">
        <v>1</v>
      </c>
      <c r="J404" s="9">
        <v>830</v>
      </c>
      <c r="K404" s="10">
        <v>830</v>
      </c>
      <c r="L404" s="9">
        <f>HOUR([1]restaurant_sales_1200!$B404)</f>
        <v>1</v>
      </c>
      <c r="M404" s="9" t="str">
        <f t="shared" si="1"/>
        <v>Tuesday</v>
      </c>
    </row>
    <row r="405" spans="1:13" x14ac:dyDescent="0.25">
      <c r="A405" s="6">
        <v>1404</v>
      </c>
      <c r="B405" s="7">
        <v>45049.345287743054</v>
      </c>
      <c r="C405" s="7">
        <v>45049.345287743054</v>
      </c>
      <c r="D405" s="8">
        <v>45049.345287743054</v>
      </c>
      <c r="E405" s="9" t="s">
        <v>4</v>
      </c>
      <c r="F405" s="9" t="s">
        <v>5</v>
      </c>
      <c r="G405" s="9" t="s">
        <v>2</v>
      </c>
      <c r="H405" s="9" t="s">
        <v>47</v>
      </c>
      <c r="I405" s="9">
        <v>5</v>
      </c>
      <c r="J405" s="9">
        <v>291</v>
      </c>
      <c r="K405" s="10">
        <v>1455</v>
      </c>
      <c r="L405" s="9">
        <f>HOUR([1]restaurant_sales_1200!$B405)</f>
        <v>8</v>
      </c>
      <c r="M405" s="9" t="str">
        <f t="shared" si="1"/>
        <v>Wednesday</v>
      </c>
    </row>
    <row r="406" spans="1:13" x14ac:dyDescent="0.25">
      <c r="A406" s="6">
        <v>1405</v>
      </c>
      <c r="B406" s="7">
        <v>45049.648874062499</v>
      </c>
      <c r="C406" s="7">
        <v>45049.648874062499</v>
      </c>
      <c r="D406" s="8">
        <v>45049.648874062499</v>
      </c>
      <c r="E406" s="9" t="s">
        <v>63</v>
      </c>
      <c r="F406" s="9" t="s">
        <v>8</v>
      </c>
      <c r="G406" s="9" t="s">
        <v>9</v>
      </c>
      <c r="H406" s="9" t="s">
        <v>10</v>
      </c>
      <c r="I406" s="9">
        <v>4</v>
      </c>
      <c r="J406" s="9">
        <v>116</v>
      </c>
      <c r="K406" s="10">
        <v>464</v>
      </c>
      <c r="L406" s="9">
        <f>HOUR([1]restaurant_sales_1200!$B406)</f>
        <v>15</v>
      </c>
      <c r="M406" s="9" t="str">
        <f t="shared" si="1"/>
        <v>Thursday</v>
      </c>
    </row>
    <row r="407" spans="1:13" x14ac:dyDescent="0.25">
      <c r="A407" s="6">
        <v>1406</v>
      </c>
      <c r="B407" s="7">
        <v>45049.952460381945</v>
      </c>
      <c r="C407" s="7">
        <v>45049.952460381945</v>
      </c>
      <c r="D407" s="8">
        <v>45049.952460381945</v>
      </c>
      <c r="E407" s="9" t="s">
        <v>101</v>
      </c>
      <c r="F407" s="9" t="s">
        <v>8</v>
      </c>
      <c r="G407" s="9" t="s">
        <v>6</v>
      </c>
      <c r="H407" s="9" t="s">
        <v>31</v>
      </c>
      <c r="I407" s="9">
        <v>5</v>
      </c>
      <c r="J407" s="9">
        <v>623</v>
      </c>
      <c r="K407" s="10">
        <v>3115</v>
      </c>
      <c r="L407" s="9">
        <f>HOUR([1]restaurant_sales_1200!$B407)</f>
        <v>22</v>
      </c>
      <c r="M407" s="9" t="str">
        <f t="shared" si="1"/>
        <v>Friday</v>
      </c>
    </row>
    <row r="408" spans="1:13" x14ac:dyDescent="0.25">
      <c r="A408" s="6">
        <v>1407</v>
      </c>
      <c r="B408" s="7">
        <v>45050.25604670139</v>
      </c>
      <c r="C408" s="7">
        <v>45050.25604670139</v>
      </c>
      <c r="D408" s="8">
        <v>45050.25604670139</v>
      </c>
      <c r="E408" s="9" t="s">
        <v>233</v>
      </c>
      <c r="F408" s="9" t="s">
        <v>5</v>
      </c>
      <c r="G408" s="9" t="s">
        <v>2</v>
      </c>
      <c r="H408" s="9" t="s">
        <v>3</v>
      </c>
      <c r="I408" s="9">
        <v>1</v>
      </c>
      <c r="J408" s="9">
        <v>500</v>
      </c>
      <c r="K408" s="10">
        <v>500</v>
      </c>
      <c r="L408" s="9">
        <f>HOUR([1]restaurant_sales_1200!$B408)</f>
        <v>6</v>
      </c>
      <c r="M408" s="9" t="str">
        <f t="shared" si="1"/>
        <v>Saturday</v>
      </c>
    </row>
    <row r="409" spans="1:13" x14ac:dyDescent="0.25">
      <c r="A409" s="6">
        <v>1408</v>
      </c>
      <c r="B409" s="7">
        <v>45050.559633032404</v>
      </c>
      <c r="C409" s="7">
        <v>45050.559633032404</v>
      </c>
      <c r="D409" s="8">
        <v>45050.559633032404</v>
      </c>
      <c r="E409" s="9" t="s">
        <v>40</v>
      </c>
      <c r="F409" s="9" t="s">
        <v>5</v>
      </c>
      <c r="G409" s="9" t="s">
        <v>9</v>
      </c>
      <c r="H409" s="9" t="s">
        <v>26</v>
      </c>
      <c r="I409" s="9">
        <v>4</v>
      </c>
      <c r="J409" s="9">
        <v>985</v>
      </c>
      <c r="K409" s="10">
        <v>3940</v>
      </c>
      <c r="L409" s="9">
        <f>HOUR([1]restaurant_sales_1200!$B409)</f>
        <v>13</v>
      </c>
      <c r="M409" s="9" t="str">
        <f t="shared" si="1"/>
        <v>Sunday</v>
      </c>
    </row>
    <row r="410" spans="1:13" x14ac:dyDescent="0.25">
      <c r="A410" s="6">
        <v>1409</v>
      </c>
      <c r="B410" s="7">
        <v>45050.86321935185</v>
      </c>
      <c r="C410" s="7">
        <v>45050.86321935185</v>
      </c>
      <c r="D410" s="8">
        <v>45050.86321935185</v>
      </c>
      <c r="E410" s="9" t="s">
        <v>64</v>
      </c>
      <c r="F410" s="9" t="s">
        <v>1</v>
      </c>
      <c r="G410" s="9" t="s">
        <v>9</v>
      </c>
      <c r="H410" s="9" t="s">
        <v>20</v>
      </c>
      <c r="I410" s="9">
        <v>5</v>
      </c>
      <c r="J410" s="9">
        <v>804</v>
      </c>
      <c r="K410" s="10">
        <v>4020</v>
      </c>
      <c r="L410" s="9">
        <f>HOUR([1]restaurant_sales_1200!$B410)</f>
        <v>20</v>
      </c>
      <c r="M410" s="9" t="str">
        <f t="shared" si="1"/>
        <v>Monday</v>
      </c>
    </row>
    <row r="411" spans="1:13" x14ac:dyDescent="0.25">
      <c r="A411" s="6">
        <v>1410</v>
      </c>
      <c r="B411" s="7">
        <v>45051.166805671295</v>
      </c>
      <c r="C411" s="7">
        <v>45051.166805671295</v>
      </c>
      <c r="D411" s="8">
        <v>45051.166805671295</v>
      </c>
      <c r="E411" s="9" t="s">
        <v>40</v>
      </c>
      <c r="F411" s="9" t="s">
        <v>8</v>
      </c>
      <c r="G411" s="9" t="s">
        <v>9</v>
      </c>
      <c r="H411" s="9" t="s">
        <v>20</v>
      </c>
      <c r="I411" s="9">
        <v>4</v>
      </c>
      <c r="J411" s="9">
        <v>121</v>
      </c>
      <c r="K411" s="10">
        <v>484</v>
      </c>
      <c r="L411" s="9">
        <f>HOUR([1]restaurant_sales_1200!$B411)</f>
        <v>4</v>
      </c>
      <c r="M411" s="9" t="str">
        <f t="shared" si="1"/>
        <v>Tuesday</v>
      </c>
    </row>
    <row r="412" spans="1:13" x14ac:dyDescent="0.25">
      <c r="A412" s="6">
        <v>1411</v>
      </c>
      <c r="B412" s="7">
        <v>45051.470391990741</v>
      </c>
      <c r="C412" s="7">
        <v>45051.470391990741</v>
      </c>
      <c r="D412" s="8">
        <v>45051.470391990741</v>
      </c>
      <c r="E412" s="9" t="s">
        <v>231</v>
      </c>
      <c r="F412" s="9" t="s">
        <v>1</v>
      </c>
      <c r="G412" s="9" t="s">
        <v>15</v>
      </c>
      <c r="H412" s="9" t="s">
        <v>31</v>
      </c>
      <c r="I412" s="9">
        <v>2</v>
      </c>
      <c r="J412" s="9">
        <v>573</v>
      </c>
      <c r="K412" s="10">
        <v>1146</v>
      </c>
      <c r="L412" s="9">
        <f>HOUR([1]restaurant_sales_1200!$B412)</f>
        <v>11</v>
      </c>
      <c r="M412" s="9" t="str">
        <f t="shared" si="1"/>
        <v>Wednesday</v>
      </c>
    </row>
    <row r="413" spans="1:13" x14ac:dyDescent="0.25">
      <c r="A413" s="6">
        <v>1412</v>
      </c>
      <c r="B413" s="7">
        <v>45051.773978310186</v>
      </c>
      <c r="C413" s="7">
        <v>45051.773978310186</v>
      </c>
      <c r="D413" s="8">
        <v>45051.773978310186</v>
      </c>
      <c r="E413" s="9" t="s">
        <v>103</v>
      </c>
      <c r="F413" s="9" t="s">
        <v>19</v>
      </c>
      <c r="G413" s="9" t="s">
        <v>15</v>
      </c>
      <c r="H413" s="9" t="s">
        <v>10</v>
      </c>
      <c r="I413" s="9">
        <v>2</v>
      </c>
      <c r="J413" s="9">
        <v>219</v>
      </c>
      <c r="K413" s="10">
        <v>438</v>
      </c>
      <c r="L413" s="9">
        <f>HOUR([1]restaurant_sales_1200!$B413)</f>
        <v>18</v>
      </c>
      <c r="M413" s="9" t="str">
        <f t="shared" si="1"/>
        <v>Thursday</v>
      </c>
    </row>
    <row r="414" spans="1:13" x14ac:dyDescent="0.25">
      <c r="A414" s="6">
        <v>1413</v>
      </c>
      <c r="B414" s="7">
        <v>45052.0775646412</v>
      </c>
      <c r="C414" s="7">
        <v>45052.0775646412</v>
      </c>
      <c r="D414" s="8">
        <v>45052.0775646412</v>
      </c>
      <c r="E414" s="9" t="s">
        <v>101</v>
      </c>
      <c r="F414" s="9" t="s">
        <v>5</v>
      </c>
      <c r="G414" s="9" t="s">
        <v>15</v>
      </c>
      <c r="H414" s="9" t="s">
        <v>20</v>
      </c>
      <c r="I414" s="9">
        <v>5</v>
      </c>
      <c r="J414" s="9">
        <v>309</v>
      </c>
      <c r="K414" s="10">
        <v>1545</v>
      </c>
      <c r="L414" s="9">
        <f>HOUR([1]restaurant_sales_1200!$B414)</f>
        <v>1</v>
      </c>
      <c r="M414" s="9" t="str">
        <f t="shared" si="1"/>
        <v>Friday</v>
      </c>
    </row>
    <row r="415" spans="1:13" x14ac:dyDescent="0.25">
      <c r="A415" s="6">
        <v>1414</v>
      </c>
      <c r="B415" s="7">
        <v>45052.381150960646</v>
      </c>
      <c r="C415" s="7">
        <v>45052.381150960646</v>
      </c>
      <c r="D415" s="8">
        <v>45052.381150960646</v>
      </c>
      <c r="E415" s="9" t="s">
        <v>55</v>
      </c>
      <c r="F415" s="9" t="s">
        <v>1</v>
      </c>
      <c r="G415" s="9" t="s">
        <v>6</v>
      </c>
      <c r="H415" s="9" t="s">
        <v>16</v>
      </c>
      <c r="I415" s="9">
        <v>4</v>
      </c>
      <c r="J415" s="9">
        <v>405</v>
      </c>
      <c r="K415" s="10">
        <v>1620</v>
      </c>
      <c r="L415" s="9">
        <f>HOUR([1]restaurant_sales_1200!$B415)</f>
        <v>9</v>
      </c>
      <c r="M415" s="9" t="str">
        <f t="shared" si="1"/>
        <v>Saturday</v>
      </c>
    </row>
    <row r="416" spans="1:13" x14ac:dyDescent="0.25">
      <c r="A416" s="6">
        <v>1415</v>
      </c>
      <c r="B416" s="7">
        <v>45052.684737280091</v>
      </c>
      <c r="C416" s="7">
        <v>45052.684737280091</v>
      </c>
      <c r="D416" s="8">
        <v>45052.684737280091</v>
      </c>
      <c r="E416" s="9" t="s">
        <v>157</v>
      </c>
      <c r="F416" s="9" t="s">
        <v>5</v>
      </c>
      <c r="G416" s="9" t="s">
        <v>2</v>
      </c>
      <c r="H416" s="9" t="s">
        <v>20</v>
      </c>
      <c r="I416" s="9">
        <v>1</v>
      </c>
      <c r="J416" s="9">
        <v>369</v>
      </c>
      <c r="K416" s="10">
        <v>369</v>
      </c>
      <c r="L416" s="9">
        <f>HOUR([1]restaurant_sales_1200!$B416)</f>
        <v>16</v>
      </c>
      <c r="M416" s="9" t="str">
        <f t="shared" si="1"/>
        <v>Sunday</v>
      </c>
    </row>
    <row r="417" spans="1:13" x14ac:dyDescent="0.25">
      <c r="A417" s="6">
        <v>1416</v>
      </c>
      <c r="B417" s="7">
        <v>45052.988323599537</v>
      </c>
      <c r="C417" s="7">
        <v>45052.988323599537</v>
      </c>
      <c r="D417" s="8">
        <v>45052.988323599537</v>
      </c>
      <c r="E417" s="9" t="s">
        <v>234</v>
      </c>
      <c r="F417" s="9" t="s">
        <v>1</v>
      </c>
      <c r="G417" s="9" t="s">
        <v>6</v>
      </c>
      <c r="H417" s="9" t="s">
        <v>13</v>
      </c>
      <c r="I417" s="9">
        <v>5</v>
      </c>
      <c r="J417" s="9">
        <v>803</v>
      </c>
      <c r="K417" s="10">
        <v>4015</v>
      </c>
      <c r="L417" s="9">
        <f>HOUR([1]restaurant_sales_1200!$B417)</f>
        <v>23</v>
      </c>
      <c r="M417" s="9" t="str">
        <f t="shared" si="1"/>
        <v>Monday</v>
      </c>
    </row>
    <row r="418" spans="1:13" x14ac:dyDescent="0.25">
      <c r="A418" s="6">
        <v>1417</v>
      </c>
      <c r="B418" s="7">
        <v>45053.291909930558</v>
      </c>
      <c r="C418" s="7">
        <v>45053.291909930558</v>
      </c>
      <c r="D418" s="8">
        <v>45053.291909930558</v>
      </c>
      <c r="E418" s="9" t="s">
        <v>212</v>
      </c>
      <c r="F418" s="9" t="s">
        <v>19</v>
      </c>
      <c r="G418" s="9" t="s">
        <v>6</v>
      </c>
      <c r="H418" s="9" t="s">
        <v>31</v>
      </c>
      <c r="I418" s="9">
        <v>2</v>
      </c>
      <c r="J418" s="9">
        <v>786</v>
      </c>
      <c r="K418" s="10">
        <v>1572</v>
      </c>
      <c r="L418" s="9">
        <f>HOUR([1]restaurant_sales_1200!$B418)</f>
        <v>7</v>
      </c>
      <c r="M418" s="9" t="str">
        <f t="shared" si="1"/>
        <v>Tuesday</v>
      </c>
    </row>
    <row r="419" spans="1:13" x14ac:dyDescent="0.25">
      <c r="A419" s="6">
        <v>1418</v>
      </c>
      <c r="B419" s="7">
        <v>45053.595496250004</v>
      </c>
      <c r="C419" s="7">
        <v>45053.595496250004</v>
      </c>
      <c r="D419" s="8">
        <v>45053.595496250004</v>
      </c>
      <c r="E419" s="9" t="s">
        <v>200</v>
      </c>
      <c r="F419" s="9" t="s">
        <v>19</v>
      </c>
      <c r="G419" s="9" t="s">
        <v>9</v>
      </c>
      <c r="H419" s="9" t="s">
        <v>10</v>
      </c>
      <c r="I419" s="9">
        <v>2</v>
      </c>
      <c r="J419" s="9">
        <v>384</v>
      </c>
      <c r="K419" s="10">
        <v>768</v>
      </c>
      <c r="L419" s="9">
        <f>HOUR([1]restaurant_sales_1200!$B419)</f>
        <v>14</v>
      </c>
      <c r="M419" s="9" t="str">
        <f t="shared" si="1"/>
        <v>Wednesday</v>
      </c>
    </row>
    <row r="420" spans="1:13" x14ac:dyDescent="0.25">
      <c r="A420" s="6">
        <v>1419</v>
      </c>
      <c r="B420" s="7">
        <v>45053.899082569442</v>
      </c>
      <c r="C420" s="7">
        <v>45053.899082569442</v>
      </c>
      <c r="D420" s="8">
        <v>45053.899082569442</v>
      </c>
      <c r="E420" s="9" t="s">
        <v>122</v>
      </c>
      <c r="F420" s="9" t="s">
        <v>8</v>
      </c>
      <c r="G420" s="9" t="s">
        <v>30</v>
      </c>
      <c r="H420" s="9" t="s">
        <v>33</v>
      </c>
      <c r="I420" s="9">
        <v>5</v>
      </c>
      <c r="J420" s="9">
        <v>815</v>
      </c>
      <c r="K420" s="10">
        <v>4075</v>
      </c>
      <c r="L420" s="9">
        <f>HOUR([1]restaurant_sales_1200!$B420)</f>
        <v>21</v>
      </c>
      <c r="M420" s="9" t="str">
        <f t="shared" si="1"/>
        <v>Thursday</v>
      </c>
    </row>
    <row r="421" spans="1:13" x14ac:dyDescent="0.25">
      <c r="A421" s="6">
        <v>1420</v>
      </c>
      <c r="B421" s="7">
        <v>45054.202668888887</v>
      </c>
      <c r="C421" s="7">
        <v>45054.202668888887</v>
      </c>
      <c r="D421" s="8">
        <v>45054.202668888887</v>
      </c>
      <c r="E421" s="9" t="s">
        <v>235</v>
      </c>
      <c r="F421" s="9" t="s">
        <v>8</v>
      </c>
      <c r="G421" s="9" t="s">
        <v>30</v>
      </c>
      <c r="H421" s="9" t="s">
        <v>26</v>
      </c>
      <c r="I421" s="9">
        <v>4</v>
      </c>
      <c r="J421" s="9">
        <v>775</v>
      </c>
      <c r="K421" s="10">
        <v>3100</v>
      </c>
      <c r="L421" s="9">
        <f>HOUR([1]restaurant_sales_1200!$B421)</f>
        <v>4</v>
      </c>
      <c r="M421" s="9" t="str">
        <f t="shared" si="1"/>
        <v>Friday</v>
      </c>
    </row>
    <row r="422" spans="1:13" x14ac:dyDescent="0.25">
      <c r="A422" s="6">
        <v>1421</v>
      </c>
      <c r="B422" s="7">
        <v>45054.506255208333</v>
      </c>
      <c r="C422" s="7">
        <v>45054.506255208333</v>
      </c>
      <c r="D422" s="8">
        <v>45054.506255208333</v>
      </c>
      <c r="E422" s="9" t="s">
        <v>52</v>
      </c>
      <c r="F422" s="9" t="s">
        <v>19</v>
      </c>
      <c r="G422" s="9" t="s">
        <v>9</v>
      </c>
      <c r="H422" s="9" t="s">
        <v>31</v>
      </c>
      <c r="I422" s="9">
        <v>2</v>
      </c>
      <c r="J422" s="9">
        <v>862</v>
      </c>
      <c r="K422" s="10">
        <v>1724</v>
      </c>
      <c r="L422" s="9">
        <f>HOUR([1]restaurant_sales_1200!$B422)</f>
        <v>12</v>
      </c>
      <c r="M422" s="9" t="str">
        <f t="shared" si="1"/>
        <v>Saturday</v>
      </c>
    </row>
    <row r="423" spans="1:13" x14ac:dyDescent="0.25">
      <c r="A423" s="6">
        <v>1422</v>
      </c>
      <c r="B423" s="7">
        <v>45054.809841539354</v>
      </c>
      <c r="C423" s="7">
        <v>45054.809841539354</v>
      </c>
      <c r="D423" s="8">
        <v>45054.809841539354</v>
      </c>
      <c r="E423" s="9" t="s">
        <v>228</v>
      </c>
      <c r="F423" s="9" t="s">
        <v>1</v>
      </c>
      <c r="G423" s="9" t="s">
        <v>30</v>
      </c>
      <c r="H423" s="9" t="s">
        <v>16</v>
      </c>
      <c r="I423" s="9">
        <v>4</v>
      </c>
      <c r="J423" s="9">
        <v>326</v>
      </c>
      <c r="K423" s="10">
        <v>1304</v>
      </c>
      <c r="L423" s="9">
        <f>HOUR([1]restaurant_sales_1200!$B423)</f>
        <v>19</v>
      </c>
      <c r="M423" s="9" t="str">
        <f t="shared" si="1"/>
        <v>Sunday</v>
      </c>
    </row>
    <row r="424" spans="1:13" x14ac:dyDescent="0.25">
      <c r="A424" s="6">
        <v>1423</v>
      </c>
      <c r="B424" s="7">
        <v>45055.1134278588</v>
      </c>
      <c r="C424" s="7">
        <v>45055.1134278588</v>
      </c>
      <c r="D424" s="8">
        <v>45055.1134278588</v>
      </c>
      <c r="E424" s="9" t="s">
        <v>174</v>
      </c>
      <c r="F424" s="9" t="s">
        <v>5</v>
      </c>
      <c r="G424" s="9" t="s">
        <v>6</v>
      </c>
      <c r="H424" s="9" t="s">
        <v>16</v>
      </c>
      <c r="I424" s="9">
        <v>2</v>
      </c>
      <c r="J424" s="9">
        <v>480</v>
      </c>
      <c r="K424" s="10">
        <v>960</v>
      </c>
      <c r="L424" s="9">
        <f>HOUR([1]restaurant_sales_1200!$B424)</f>
        <v>2</v>
      </c>
      <c r="M424" s="9" t="str">
        <f t="shared" si="1"/>
        <v>Monday</v>
      </c>
    </row>
    <row r="425" spans="1:13" x14ac:dyDescent="0.25">
      <c r="A425" s="6">
        <v>1424</v>
      </c>
      <c r="B425" s="7">
        <v>45055.417014178238</v>
      </c>
      <c r="C425" s="7">
        <v>45055.417014178238</v>
      </c>
      <c r="D425" s="8">
        <v>45055.417014178238</v>
      </c>
      <c r="E425" s="9" t="s">
        <v>118</v>
      </c>
      <c r="F425" s="9" t="s">
        <v>19</v>
      </c>
      <c r="G425" s="9" t="s">
        <v>2</v>
      </c>
      <c r="H425" s="9" t="s">
        <v>26</v>
      </c>
      <c r="I425" s="9">
        <v>2</v>
      </c>
      <c r="J425" s="9">
        <v>559</v>
      </c>
      <c r="K425" s="10">
        <v>1118</v>
      </c>
      <c r="L425" s="9">
        <f>HOUR([1]restaurant_sales_1200!$B425)</f>
        <v>10</v>
      </c>
      <c r="M425" s="9" t="str">
        <f t="shared" si="1"/>
        <v>Tuesday</v>
      </c>
    </row>
    <row r="426" spans="1:13" x14ac:dyDescent="0.25">
      <c r="A426" s="6">
        <v>1425</v>
      </c>
      <c r="B426" s="7">
        <v>45055.720600497683</v>
      </c>
      <c r="C426" s="7">
        <v>45055.720600497683</v>
      </c>
      <c r="D426" s="8">
        <v>45055.720600497683</v>
      </c>
      <c r="E426" s="9" t="s">
        <v>51</v>
      </c>
      <c r="F426" s="9" t="s">
        <v>19</v>
      </c>
      <c r="G426" s="9" t="s">
        <v>15</v>
      </c>
      <c r="H426" s="9" t="s">
        <v>24</v>
      </c>
      <c r="I426" s="9">
        <v>3</v>
      </c>
      <c r="J426" s="9">
        <v>106</v>
      </c>
      <c r="K426" s="10">
        <v>318</v>
      </c>
      <c r="L426" s="9">
        <f>HOUR([1]restaurant_sales_1200!$B426)</f>
        <v>17</v>
      </c>
      <c r="M426" s="9" t="str">
        <f t="shared" si="1"/>
        <v>Wednesday</v>
      </c>
    </row>
    <row r="427" spans="1:13" x14ac:dyDescent="0.25">
      <c r="A427" s="6">
        <v>1426</v>
      </c>
      <c r="B427" s="7">
        <v>45056.024186817129</v>
      </c>
      <c r="C427" s="7">
        <v>45056.024186817129</v>
      </c>
      <c r="D427" s="8">
        <v>45056.024186817129</v>
      </c>
      <c r="E427" s="9" t="s">
        <v>190</v>
      </c>
      <c r="F427" s="9" t="s">
        <v>1</v>
      </c>
      <c r="G427" s="9" t="s">
        <v>6</v>
      </c>
      <c r="H427" s="9" t="s">
        <v>47</v>
      </c>
      <c r="I427" s="9">
        <v>2</v>
      </c>
      <c r="J427" s="9">
        <v>128</v>
      </c>
      <c r="K427" s="10">
        <v>256</v>
      </c>
      <c r="L427" s="9">
        <f>HOUR([1]restaurant_sales_1200!$B427)</f>
        <v>0</v>
      </c>
      <c r="M427" s="9" t="str">
        <f t="shared" si="1"/>
        <v>Thursday</v>
      </c>
    </row>
    <row r="428" spans="1:13" x14ac:dyDescent="0.25">
      <c r="A428" s="6">
        <v>1427</v>
      </c>
      <c r="B428" s="7">
        <v>45056.32777314815</v>
      </c>
      <c r="C428" s="7">
        <v>45056.32777314815</v>
      </c>
      <c r="D428" s="8">
        <v>45056.32777314815</v>
      </c>
      <c r="E428" s="9" t="s">
        <v>236</v>
      </c>
      <c r="F428" s="9" t="s">
        <v>19</v>
      </c>
      <c r="G428" s="9" t="s">
        <v>6</v>
      </c>
      <c r="H428" s="9" t="s">
        <v>16</v>
      </c>
      <c r="I428" s="9">
        <v>1</v>
      </c>
      <c r="J428" s="9">
        <v>132</v>
      </c>
      <c r="K428" s="10">
        <v>132</v>
      </c>
      <c r="L428" s="9">
        <f>HOUR([1]restaurant_sales_1200!$B428)</f>
        <v>7</v>
      </c>
      <c r="M428" s="9" t="str">
        <f t="shared" si="1"/>
        <v>Friday</v>
      </c>
    </row>
    <row r="429" spans="1:13" x14ac:dyDescent="0.25">
      <c r="A429" s="6">
        <v>1428</v>
      </c>
      <c r="B429" s="7">
        <v>45056.631359467596</v>
      </c>
      <c r="C429" s="7">
        <v>45056.631359467596</v>
      </c>
      <c r="D429" s="8">
        <v>45056.631359467596</v>
      </c>
      <c r="E429" s="9" t="s">
        <v>237</v>
      </c>
      <c r="F429" s="9" t="s">
        <v>19</v>
      </c>
      <c r="G429" s="9" t="s">
        <v>2</v>
      </c>
      <c r="H429" s="9" t="s">
        <v>33</v>
      </c>
      <c r="I429" s="9">
        <v>5</v>
      </c>
      <c r="J429" s="9">
        <v>745</v>
      </c>
      <c r="K429" s="10">
        <v>3725</v>
      </c>
      <c r="L429" s="9">
        <f>HOUR([1]restaurant_sales_1200!$B429)</f>
        <v>15</v>
      </c>
      <c r="M429" s="9" t="str">
        <f t="shared" si="1"/>
        <v>Saturday</v>
      </c>
    </row>
    <row r="430" spans="1:13" x14ac:dyDescent="0.25">
      <c r="A430" s="6">
        <v>1429</v>
      </c>
      <c r="B430" s="7">
        <v>45056.934945787034</v>
      </c>
      <c r="C430" s="7">
        <v>45056.934945787034</v>
      </c>
      <c r="D430" s="8">
        <v>45056.934945787034</v>
      </c>
      <c r="E430" s="9" t="s">
        <v>212</v>
      </c>
      <c r="F430" s="9" t="s">
        <v>1</v>
      </c>
      <c r="G430" s="9" t="s">
        <v>30</v>
      </c>
      <c r="H430" s="9" t="s">
        <v>24</v>
      </c>
      <c r="I430" s="9">
        <v>5</v>
      </c>
      <c r="J430" s="9">
        <v>978</v>
      </c>
      <c r="K430" s="10">
        <v>4890</v>
      </c>
      <c r="L430" s="9">
        <f>HOUR([1]restaurant_sales_1200!$B430)</f>
        <v>22</v>
      </c>
      <c r="M430" s="9" t="str">
        <f t="shared" si="1"/>
        <v>Sunday</v>
      </c>
    </row>
    <row r="431" spans="1:13" x14ac:dyDescent="0.25">
      <c r="A431" s="6">
        <v>1430</v>
      </c>
      <c r="B431" s="7">
        <v>45057.238532106479</v>
      </c>
      <c r="C431" s="7">
        <v>45057.238532106479</v>
      </c>
      <c r="D431" s="8">
        <v>45057.238532106479</v>
      </c>
      <c r="E431" s="9" t="s">
        <v>110</v>
      </c>
      <c r="F431" s="9" t="s">
        <v>19</v>
      </c>
      <c r="G431" s="9" t="s">
        <v>2</v>
      </c>
      <c r="H431" s="9" t="s">
        <v>33</v>
      </c>
      <c r="I431" s="9">
        <v>4</v>
      </c>
      <c r="J431" s="9">
        <v>178</v>
      </c>
      <c r="K431" s="10">
        <v>712</v>
      </c>
      <c r="L431" s="9">
        <f>HOUR([1]restaurant_sales_1200!$B431)</f>
        <v>5</v>
      </c>
      <c r="M431" s="9" t="str">
        <f t="shared" si="1"/>
        <v>Monday</v>
      </c>
    </row>
    <row r="432" spans="1:13" x14ac:dyDescent="0.25">
      <c r="A432" s="6">
        <v>1431</v>
      </c>
      <c r="B432" s="7">
        <v>45057.542118437501</v>
      </c>
      <c r="C432" s="7">
        <v>45057.542118437501</v>
      </c>
      <c r="D432" s="8">
        <v>45057.542118437501</v>
      </c>
      <c r="E432" s="9" t="s">
        <v>62</v>
      </c>
      <c r="F432" s="9" t="s">
        <v>8</v>
      </c>
      <c r="G432" s="9" t="s">
        <v>6</v>
      </c>
      <c r="H432" s="9" t="s">
        <v>24</v>
      </c>
      <c r="I432" s="9">
        <v>2</v>
      </c>
      <c r="J432" s="9">
        <v>558</v>
      </c>
      <c r="K432" s="10">
        <v>1116</v>
      </c>
      <c r="L432" s="9">
        <f>HOUR([1]restaurant_sales_1200!$B432)</f>
        <v>13</v>
      </c>
      <c r="M432" s="9" t="str">
        <f t="shared" si="1"/>
        <v>Tuesday</v>
      </c>
    </row>
    <row r="433" spans="1:13" x14ac:dyDescent="0.25">
      <c r="A433" s="6">
        <v>1432</v>
      </c>
      <c r="B433" s="7">
        <v>45057.845704756946</v>
      </c>
      <c r="C433" s="7">
        <v>45057.845704756946</v>
      </c>
      <c r="D433" s="8">
        <v>45057.845704756946</v>
      </c>
      <c r="E433" s="9" t="s">
        <v>166</v>
      </c>
      <c r="F433" s="9" t="s">
        <v>8</v>
      </c>
      <c r="G433" s="9" t="s">
        <v>9</v>
      </c>
      <c r="H433" s="9" t="s">
        <v>10</v>
      </c>
      <c r="I433" s="9">
        <v>1</v>
      </c>
      <c r="J433" s="9">
        <v>669</v>
      </c>
      <c r="K433" s="10">
        <v>669</v>
      </c>
      <c r="L433" s="9">
        <f>HOUR([1]restaurant_sales_1200!$B433)</f>
        <v>20</v>
      </c>
      <c r="M433" s="9" t="str">
        <f t="shared" si="1"/>
        <v>Wednesday</v>
      </c>
    </row>
    <row r="434" spans="1:13" x14ac:dyDescent="0.25">
      <c r="A434" s="6">
        <v>1433</v>
      </c>
      <c r="B434" s="7">
        <v>45058.149291076392</v>
      </c>
      <c r="C434" s="7">
        <v>45058.149291076392</v>
      </c>
      <c r="D434" s="8">
        <v>45058.149291076392</v>
      </c>
      <c r="E434" s="9" t="s">
        <v>238</v>
      </c>
      <c r="F434" s="9" t="s">
        <v>8</v>
      </c>
      <c r="G434" s="9" t="s">
        <v>9</v>
      </c>
      <c r="H434" s="9" t="s">
        <v>26</v>
      </c>
      <c r="I434" s="9">
        <v>4</v>
      </c>
      <c r="J434" s="9">
        <v>637</v>
      </c>
      <c r="K434" s="10">
        <v>2548</v>
      </c>
      <c r="L434" s="9">
        <f>HOUR([1]restaurant_sales_1200!$B434)</f>
        <v>3</v>
      </c>
      <c r="M434" s="9" t="str">
        <f t="shared" si="1"/>
        <v>Thursday</v>
      </c>
    </row>
    <row r="435" spans="1:13" x14ac:dyDescent="0.25">
      <c r="A435" s="6">
        <v>1434</v>
      </c>
      <c r="B435" s="7">
        <v>45058.45287739583</v>
      </c>
      <c r="C435" s="7">
        <v>45058.45287739583</v>
      </c>
      <c r="D435" s="8">
        <v>45058.45287739583</v>
      </c>
      <c r="E435" s="9" t="s">
        <v>53</v>
      </c>
      <c r="F435" s="9" t="s">
        <v>8</v>
      </c>
      <c r="G435" s="9" t="s">
        <v>6</v>
      </c>
      <c r="H435" s="9" t="s">
        <v>16</v>
      </c>
      <c r="I435" s="9">
        <v>3</v>
      </c>
      <c r="J435" s="9">
        <v>581</v>
      </c>
      <c r="K435" s="10">
        <v>1743</v>
      </c>
      <c r="L435" s="9">
        <f>HOUR([1]restaurant_sales_1200!$B435)</f>
        <v>10</v>
      </c>
      <c r="M435" s="9" t="str">
        <f t="shared" si="1"/>
        <v>Friday</v>
      </c>
    </row>
    <row r="436" spans="1:13" x14ac:dyDescent="0.25">
      <c r="A436" s="6">
        <v>1435</v>
      </c>
      <c r="B436" s="7">
        <v>45058.756463715275</v>
      </c>
      <c r="C436" s="7">
        <v>45058.756463715275</v>
      </c>
      <c r="D436" s="8">
        <v>45058.756463715275</v>
      </c>
      <c r="E436" s="9" t="s">
        <v>236</v>
      </c>
      <c r="F436" s="9" t="s">
        <v>19</v>
      </c>
      <c r="G436" s="9" t="s">
        <v>9</v>
      </c>
      <c r="H436" s="9" t="s">
        <v>24</v>
      </c>
      <c r="I436" s="9">
        <v>4</v>
      </c>
      <c r="J436" s="9">
        <v>529</v>
      </c>
      <c r="K436" s="10">
        <v>2116</v>
      </c>
      <c r="L436" s="9">
        <f>HOUR([1]restaurant_sales_1200!$B436)</f>
        <v>18</v>
      </c>
      <c r="M436" s="9" t="str">
        <f t="shared" si="1"/>
        <v>Saturday</v>
      </c>
    </row>
    <row r="437" spans="1:13" x14ac:dyDescent="0.25">
      <c r="A437" s="6">
        <v>1436</v>
      </c>
      <c r="B437" s="7">
        <v>45059.060050046297</v>
      </c>
      <c r="C437" s="7">
        <v>45059.060050046297</v>
      </c>
      <c r="D437" s="8">
        <v>45059.060050046297</v>
      </c>
      <c r="E437" s="9" t="s">
        <v>130</v>
      </c>
      <c r="F437" s="9" t="s">
        <v>5</v>
      </c>
      <c r="G437" s="9" t="s">
        <v>30</v>
      </c>
      <c r="H437" s="9" t="s">
        <v>47</v>
      </c>
      <c r="I437" s="9">
        <v>4</v>
      </c>
      <c r="J437" s="9">
        <v>837</v>
      </c>
      <c r="K437" s="10">
        <v>3348</v>
      </c>
      <c r="L437" s="9">
        <f>HOUR([1]restaurant_sales_1200!$B437)</f>
        <v>1</v>
      </c>
      <c r="M437" s="9" t="str">
        <f t="shared" si="1"/>
        <v>Sunday</v>
      </c>
    </row>
    <row r="438" spans="1:13" x14ac:dyDescent="0.25">
      <c r="A438" s="6">
        <v>1437</v>
      </c>
      <c r="B438" s="7">
        <v>45059.363636365742</v>
      </c>
      <c r="C438" s="7">
        <v>45059.363636365742</v>
      </c>
      <c r="D438" s="8">
        <v>45059.363636365742</v>
      </c>
      <c r="E438" s="9" t="s">
        <v>239</v>
      </c>
      <c r="F438" s="9" t="s">
        <v>8</v>
      </c>
      <c r="G438" s="9" t="s">
        <v>2</v>
      </c>
      <c r="H438" s="9" t="s">
        <v>26</v>
      </c>
      <c r="I438" s="9">
        <v>2</v>
      </c>
      <c r="J438" s="9">
        <v>384</v>
      </c>
      <c r="K438" s="10">
        <v>768</v>
      </c>
      <c r="L438" s="9">
        <f>HOUR([1]restaurant_sales_1200!$B438)</f>
        <v>8</v>
      </c>
      <c r="M438" s="9" t="str">
        <f t="shared" si="1"/>
        <v>Monday</v>
      </c>
    </row>
    <row r="439" spans="1:13" x14ac:dyDescent="0.25">
      <c r="A439" s="6">
        <v>1438</v>
      </c>
      <c r="B439" s="7">
        <v>45059.667222685188</v>
      </c>
      <c r="C439" s="7">
        <v>45059.667222685188</v>
      </c>
      <c r="D439" s="8">
        <v>45059.667222685188</v>
      </c>
      <c r="E439" s="9" t="s">
        <v>96</v>
      </c>
      <c r="F439" s="9" t="s">
        <v>8</v>
      </c>
      <c r="G439" s="9" t="s">
        <v>15</v>
      </c>
      <c r="H439" s="9" t="s">
        <v>47</v>
      </c>
      <c r="I439" s="9">
        <v>3</v>
      </c>
      <c r="J439" s="9">
        <v>615</v>
      </c>
      <c r="K439" s="10">
        <v>1845</v>
      </c>
      <c r="L439" s="9">
        <f>HOUR([1]restaurant_sales_1200!$B439)</f>
        <v>16</v>
      </c>
      <c r="M439" s="9" t="str">
        <f t="shared" si="1"/>
        <v>Tuesday</v>
      </c>
    </row>
    <row r="440" spans="1:13" x14ac:dyDescent="0.25">
      <c r="A440" s="6">
        <v>1439</v>
      </c>
      <c r="B440" s="7">
        <v>45059.970809004626</v>
      </c>
      <c r="C440" s="7">
        <v>45059.970809004626</v>
      </c>
      <c r="D440" s="8">
        <v>45059.970809004626</v>
      </c>
      <c r="E440" s="9" t="s">
        <v>240</v>
      </c>
      <c r="F440" s="9" t="s">
        <v>19</v>
      </c>
      <c r="G440" s="9" t="s">
        <v>2</v>
      </c>
      <c r="H440" s="9" t="s">
        <v>47</v>
      </c>
      <c r="I440" s="9">
        <v>4</v>
      </c>
      <c r="J440" s="9">
        <v>198</v>
      </c>
      <c r="K440" s="10">
        <v>792</v>
      </c>
      <c r="L440" s="9">
        <f>HOUR([1]restaurant_sales_1200!$B440)</f>
        <v>23</v>
      </c>
      <c r="M440" s="9" t="str">
        <f t="shared" si="1"/>
        <v>Wednesday</v>
      </c>
    </row>
    <row r="441" spans="1:13" x14ac:dyDescent="0.25">
      <c r="A441" s="6">
        <v>1440</v>
      </c>
      <c r="B441" s="7">
        <v>45060.274395324072</v>
      </c>
      <c r="C441" s="7">
        <v>45060.274395324072</v>
      </c>
      <c r="D441" s="8">
        <v>45060.274395324072</v>
      </c>
      <c r="E441" s="9" t="s">
        <v>70</v>
      </c>
      <c r="F441" s="9" t="s">
        <v>19</v>
      </c>
      <c r="G441" s="9" t="s">
        <v>15</v>
      </c>
      <c r="H441" s="9" t="s">
        <v>31</v>
      </c>
      <c r="I441" s="9">
        <v>1</v>
      </c>
      <c r="J441" s="9">
        <v>496</v>
      </c>
      <c r="K441" s="10">
        <v>496</v>
      </c>
      <c r="L441" s="9">
        <f>HOUR([1]restaurant_sales_1200!$B441)</f>
        <v>6</v>
      </c>
      <c r="M441" s="9" t="str">
        <f t="shared" si="1"/>
        <v>Thursday</v>
      </c>
    </row>
    <row r="442" spans="1:13" x14ac:dyDescent="0.25">
      <c r="A442" s="6">
        <v>1441</v>
      </c>
      <c r="B442" s="7">
        <v>45060.577981655093</v>
      </c>
      <c r="C442" s="7">
        <v>45060.577981655093</v>
      </c>
      <c r="D442" s="8">
        <v>45060.577981655093</v>
      </c>
      <c r="E442" s="9" t="s">
        <v>168</v>
      </c>
      <c r="F442" s="9" t="s">
        <v>1</v>
      </c>
      <c r="G442" s="9" t="s">
        <v>6</v>
      </c>
      <c r="H442" s="9" t="s">
        <v>10</v>
      </c>
      <c r="I442" s="9">
        <v>1</v>
      </c>
      <c r="J442" s="9">
        <v>588</v>
      </c>
      <c r="K442" s="10">
        <v>588</v>
      </c>
      <c r="L442" s="9">
        <f>HOUR([1]restaurant_sales_1200!$B442)</f>
        <v>13</v>
      </c>
      <c r="M442" s="9" t="str">
        <f t="shared" si="1"/>
        <v>Friday</v>
      </c>
    </row>
    <row r="443" spans="1:13" x14ac:dyDescent="0.25">
      <c r="A443" s="6">
        <v>1442</v>
      </c>
      <c r="B443" s="7">
        <v>45060.881567974538</v>
      </c>
      <c r="C443" s="7">
        <v>45060.881567974538</v>
      </c>
      <c r="D443" s="8">
        <v>45060.881567974538</v>
      </c>
      <c r="E443" s="9" t="s">
        <v>64</v>
      </c>
      <c r="F443" s="9" t="s">
        <v>8</v>
      </c>
      <c r="G443" s="9" t="s">
        <v>6</v>
      </c>
      <c r="H443" s="9" t="s">
        <v>26</v>
      </c>
      <c r="I443" s="9">
        <v>5</v>
      </c>
      <c r="J443" s="9">
        <v>138</v>
      </c>
      <c r="K443" s="10">
        <v>690</v>
      </c>
      <c r="L443" s="9">
        <f>HOUR([1]restaurant_sales_1200!$B443)</f>
        <v>21</v>
      </c>
      <c r="M443" s="9" t="str">
        <f t="shared" si="1"/>
        <v>Saturday</v>
      </c>
    </row>
    <row r="444" spans="1:13" x14ac:dyDescent="0.25">
      <c r="A444" s="6">
        <v>1443</v>
      </c>
      <c r="B444" s="7">
        <v>45061.185154293984</v>
      </c>
      <c r="C444" s="7">
        <v>45061.185154293984</v>
      </c>
      <c r="D444" s="8">
        <v>45061.185154293984</v>
      </c>
      <c r="E444" s="9" t="s">
        <v>157</v>
      </c>
      <c r="F444" s="9" t="s">
        <v>1</v>
      </c>
      <c r="G444" s="9" t="s">
        <v>15</v>
      </c>
      <c r="H444" s="9" t="s">
        <v>26</v>
      </c>
      <c r="I444" s="9">
        <v>3</v>
      </c>
      <c r="J444" s="9">
        <v>370</v>
      </c>
      <c r="K444" s="10">
        <v>1110</v>
      </c>
      <c r="L444" s="9">
        <f>HOUR([1]restaurant_sales_1200!$B444)</f>
        <v>4</v>
      </c>
      <c r="M444" s="9" t="str">
        <f t="shared" si="1"/>
        <v>Sunday</v>
      </c>
    </row>
    <row r="445" spans="1:13" x14ac:dyDescent="0.25">
      <c r="A445" s="6">
        <v>1444</v>
      </c>
      <c r="B445" s="7">
        <v>45061.488740613429</v>
      </c>
      <c r="C445" s="7">
        <v>45061.488740613429</v>
      </c>
      <c r="D445" s="8">
        <v>45061.488740613429</v>
      </c>
      <c r="E445" s="9" t="s">
        <v>190</v>
      </c>
      <c r="F445" s="9" t="s">
        <v>8</v>
      </c>
      <c r="G445" s="9" t="s">
        <v>9</v>
      </c>
      <c r="H445" s="9" t="s">
        <v>13</v>
      </c>
      <c r="I445" s="9">
        <v>3</v>
      </c>
      <c r="J445" s="9">
        <v>986</v>
      </c>
      <c r="K445" s="10">
        <v>2958</v>
      </c>
      <c r="L445" s="9">
        <f>HOUR([1]restaurant_sales_1200!$B445)</f>
        <v>11</v>
      </c>
      <c r="M445" s="9" t="str">
        <f t="shared" si="1"/>
        <v>Monday</v>
      </c>
    </row>
    <row r="446" spans="1:13" x14ac:dyDescent="0.25">
      <c r="A446" s="6">
        <v>1445</v>
      </c>
      <c r="B446" s="7">
        <v>45061.792326944444</v>
      </c>
      <c r="C446" s="7">
        <v>45061.792326944444</v>
      </c>
      <c r="D446" s="8">
        <v>45061.792326944444</v>
      </c>
      <c r="E446" s="9" t="s">
        <v>56</v>
      </c>
      <c r="F446" s="9" t="s">
        <v>5</v>
      </c>
      <c r="G446" s="9" t="s">
        <v>6</v>
      </c>
      <c r="H446" s="9" t="s">
        <v>24</v>
      </c>
      <c r="I446" s="9">
        <v>5</v>
      </c>
      <c r="J446" s="9">
        <v>896</v>
      </c>
      <c r="K446" s="10">
        <v>4480</v>
      </c>
      <c r="L446" s="9">
        <f>HOUR([1]restaurant_sales_1200!$B446)</f>
        <v>19</v>
      </c>
      <c r="M446" s="9" t="str">
        <f t="shared" si="1"/>
        <v>Tuesday</v>
      </c>
    </row>
    <row r="447" spans="1:13" x14ac:dyDescent="0.25">
      <c r="A447" s="6">
        <v>1446</v>
      </c>
      <c r="B447" s="7">
        <v>45062.095913263889</v>
      </c>
      <c r="C447" s="7">
        <v>45062.095913263889</v>
      </c>
      <c r="D447" s="8">
        <v>45062.095913263889</v>
      </c>
      <c r="E447" s="9" t="s">
        <v>202</v>
      </c>
      <c r="F447" s="9" t="s">
        <v>19</v>
      </c>
      <c r="G447" s="9" t="s">
        <v>30</v>
      </c>
      <c r="H447" s="9" t="s">
        <v>10</v>
      </c>
      <c r="I447" s="9">
        <v>4</v>
      </c>
      <c r="J447" s="9">
        <v>256</v>
      </c>
      <c r="K447" s="10">
        <v>1024</v>
      </c>
      <c r="L447" s="9">
        <f>HOUR([1]restaurant_sales_1200!$B447)</f>
        <v>2</v>
      </c>
      <c r="M447" s="9" t="str">
        <f t="shared" si="1"/>
        <v>Wednesday</v>
      </c>
    </row>
    <row r="448" spans="1:13" x14ac:dyDescent="0.25">
      <c r="A448" s="6">
        <v>1447</v>
      </c>
      <c r="B448" s="7">
        <v>45062.399499583335</v>
      </c>
      <c r="C448" s="7">
        <v>45062.399499583335</v>
      </c>
      <c r="D448" s="8">
        <v>45062.399499583335</v>
      </c>
      <c r="E448" s="9" t="s">
        <v>123</v>
      </c>
      <c r="F448" s="9" t="s">
        <v>19</v>
      </c>
      <c r="G448" s="9" t="s">
        <v>30</v>
      </c>
      <c r="H448" s="9" t="s">
        <v>10</v>
      </c>
      <c r="I448" s="9">
        <v>3</v>
      </c>
      <c r="J448" s="9">
        <v>174</v>
      </c>
      <c r="K448" s="10">
        <v>522</v>
      </c>
      <c r="L448" s="9">
        <f>HOUR([1]restaurant_sales_1200!$B448)</f>
        <v>9</v>
      </c>
      <c r="M448" s="9" t="str">
        <f t="shared" si="1"/>
        <v>Thursday</v>
      </c>
    </row>
    <row r="449" spans="1:13" x14ac:dyDescent="0.25">
      <c r="A449" s="6">
        <v>1448</v>
      </c>
      <c r="B449" s="7">
        <v>45062.70308590278</v>
      </c>
      <c r="C449" s="7">
        <v>45062.70308590278</v>
      </c>
      <c r="D449" s="8">
        <v>45062.70308590278</v>
      </c>
      <c r="E449" s="9" t="s">
        <v>241</v>
      </c>
      <c r="F449" s="9" t="s">
        <v>1</v>
      </c>
      <c r="G449" s="9" t="s">
        <v>30</v>
      </c>
      <c r="H449" s="9" t="s">
        <v>26</v>
      </c>
      <c r="I449" s="9">
        <v>1</v>
      </c>
      <c r="J449" s="9">
        <v>983</v>
      </c>
      <c r="K449" s="10">
        <v>983</v>
      </c>
      <c r="L449" s="9">
        <f>HOUR([1]restaurant_sales_1200!$B449)</f>
        <v>16</v>
      </c>
      <c r="M449" s="9" t="str">
        <f t="shared" si="1"/>
        <v>Friday</v>
      </c>
    </row>
    <row r="450" spans="1:13" x14ac:dyDescent="0.25">
      <c r="A450" s="6">
        <v>1449</v>
      </c>
      <c r="B450" s="7">
        <v>45063.006672222225</v>
      </c>
      <c r="C450" s="7">
        <v>45063.006672222225</v>
      </c>
      <c r="D450" s="8">
        <v>45063.006672222225</v>
      </c>
      <c r="E450" s="9" t="s">
        <v>242</v>
      </c>
      <c r="F450" s="9" t="s">
        <v>1</v>
      </c>
      <c r="G450" s="9" t="s">
        <v>30</v>
      </c>
      <c r="H450" s="9" t="s">
        <v>20</v>
      </c>
      <c r="I450" s="9">
        <v>1</v>
      </c>
      <c r="J450" s="9">
        <v>899</v>
      </c>
      <c r="K450" s="10">
        <v>899</v>
      </c>
      <c r="L450" s="9">
        <f>HOUR([1]restaurant_sales_1200!$B450)</f>
        <v>0</v>
      </c>
      <c r="M450" s="9" t="str">
        <f t="shared" si="1"/>
        <v>Saturday</v>
      </c>
    </row>
    <row r="451" spans="1:13" x14ac:dyDescent="0.25">
      <c r="A451" s="6">
        <v>1450</v>
      </c>
      <c r="B451" s="7">
        <v>45063.31025855324</v>
      </c>
      <c r="C451" s="7">
        <v>45063.31025855324</v>
      </c>
      <c r="D451" s="8">
        <v>45063.31025855324</v>
      </c>
      <c r="E451" s="9" t="s">
        <v>243</v>
      </c>
      <c r="F451" s="9" t="s">
        <v>19</v>
      </c>
      <c r="G451" s="9" t="s">
        <v>15</v>
      </c>
      <c r="H451" s="9" t="s">
        <v>3</v>
      </c>
      <c r="I451" s="9">
        <v>2</v>
      </c>
      <c r="J451" s="9">
        <v>229</v>
      </c>
      <c r="K451" s="10">
        <v>458</v>
      </c>
      <c r="L451" s="9">
        <f>HOUR([1]restaurant_sales_1200!$B451)</f>
        <v>7</v>
      </c>
      <c r="M451" s="9" t="str">
        <f t="shared" si="1"/>
        <v>Sunday</v>
      </c>
    </row>
    <row r="452" spans="1:13" x14ac:dyDescent="0.25">
      <c r="A452" s="6">
        <v>1451</v>
      </c>
      <c r="B452" s="7">
        <v>45063.613844872685</v>
      </c>
      <c r="C452" s="7">
        <v>45063.613844872685</v>
      </c>
      <c r="D452" s="8">
        <v>45063.613844872685</v>
      </c>
      <c r="E452" s="9" t="s">
        <v>173</v>
      </c>
      <c r="F452" s="9" t="s">
        <v>19</v>
      </c>
      <c r="G452" s="9" t="s">
        <v>9</v>
      </c>
      <c r="H452" s="9" t="s">
        <v>10</v>
      </c>
      <c r="I452" s="9">
        <v>3</v>
      </c>
      <c r="J452" s="9">
        <v>786</v>
      </c>
      <c r="K452" s="10">
        <v>2358</v>
      </c>
      <c r="L452" s="9">
        <f>HOUR([1]restaurant_sales_1200!$B452)</f>
        <v>14</v>
      </c>
      <c r="M452" s="9" t="str">
        <f t="shared" si="1"/>
        <v>Monday</v>
      </c>
    </row>
    <row r="453" spans="1:13" x14ac:dyDescent="0.25">
      <c r="A453" s="6">
        <v>1452</v>
      </c>
      <c r="B453" s="7">
        <v>45063.917431192131</v>
      </c>
      <c r="C453" s="7">
        <v>45063.917431192131</v>
      </c>
      <c r="D453" s="8">
        <v>45063.917431192131</v>
      </c>
      <c r="E453" s="9" t="s">
        <v>187</v>
      </c>
      <c r="F453" s="9" t="s">
        <v>19</v>
      </c>
      <c r="G453" s="9" t="s">
        <v>15</v>
      </c>
      <c r="H453" s="9" t="s">
        <v>13</v>
      </c>
      <c r="I453" s="9">
        <v>4</v>
      </c>
      <c r="J453" s="9">
        <v>183</v>
      </c>
      <c r="K453" s="10">
        <v>732</v>
      </c>
      <c r="L453" s="9">
        <f>HOUR([1]restaurant_sales_1200!$B453)</f>
        <v>22</v>
      </c>
      <c r="M453" s="9" t="str">
        <f t="shared" si="1"/>
        <v>Tuesday</v>
      </c>
    </row>
    <row r="454" spans="1:13" x14ac:dyDescent="0.25">
      <c r="A454" s="6">
        <v>1453</v>
      </c>
      <c r="B454" s="7">
        <v>45064.221017511576</v>
      </c>
      <c r="C454" s="7">
        <v>45064.221017511576</v>
      </c>
      <c r="D454" s="8">
        <v>45064.221017511576</v>
      </c>
      <c r="E454" s="9" t="s">
        <v>115</v>
      </c>
      <c r="F454" s="9" t="s">
        <v>8</v>
      </c>
      <c r="G454" s="9" t="s">
        <v>6</v>
      </c>
      <c r="H454" s="9" t="s">
        <v>3</v>
      </c>
      <c r="I454" s="9">
        <v>5</v>
      </c>
      <c r="J454" s="9">
        <v>121</v>
      </c>
      <c r="K454" s="10">
        <v>605</v>
      </c>
      <c r="L454" s="9">
        <f>HOUR([1]restaurant_sales_1200!$B454)</f>
        <v>5</v>
      </c>
      <c r="M454" s="9" t="str">
        <f t="shared" si="1"/>
        <v>Wednesday</v>
      </c>
    </row>
    <row r="455" spans="1:13" x14ac:dyDescent="0.25">
      <c r="A455" s="6">
        <v>1454</v>
      </c>
      <c r="B455" s="7">
        <v>45064.524603831022</v>
      </c>
      <c r="C455" s="7">
        <v>45064.524603831022</v>
      </c>
      <c r="D455" s="8">
        <v>45064.524603831022</v>
      </c>
      <c r="E455" s="9" t="s">
        <v>142</v>
      </c>
      <c r="F455" s="9" t="s">
        <v>8</v>
      </c>
      <c r="G455" s="9" t="s">
        <v>30</v>
      </c>
      <c r="H455" s="9" t="s">
        <v>16</v>
      </c>
      <c r="I455" s="9">
        <v>5</v>
      </c>
      <c r="J455" s="9">
        <v>558</v>
      </c>
      <c r="K455" s="10">
        <v>2790</v>
      </c>
      <c r="L455" s="9">
        <f>HOUR([1]restaurant_sales_1200!$B455)</f>
        <v>12</v>
      </c>
      <c r="M455" s="9" t="str">
        <f t="shared" si="1"/>
        <v>Thursday</v>
      </c>
    </row>
    <row r="456" spans="1:13" x14ac:dyDescent="0.25">
      <c r="A456" s="6">
        <v>1455</v>
      </c>
      <c r="B456" s="7">
        <v>45064.828190162036</v>
      </c>
      <c r="C456" s="7">
        <v>45064.828190162036</v>
      </c>
      <c r="D456" s="8">
        <v>45064.828190162036</v>
      </c>
      <c r="E456" s="9" t="s">
        <v>63</v>
      </c>
      <c r="F456" s="9" t="s">
        <v>5</v>
      </c>
      <c r="G456" s="9" t="s">
        <v>30</v>
      </c>
      <c r="H456" s="9" t="s">
        <v>47</v>
      </c>
      <c r="I456" s="9">
        <v>4</v>
      </c>
      <c r="J456" s="9">
        <v>638</v>
      </c>
      <c r="K456" s="10">
        <v>2552</v>
      </c>
      <c r="L456" s="9">
        <f>HOUR([1]restaurant_sales_1200!$B456)</f>
        <v>19</v>
      </c>
      <c r="M456" s="9" t="str">
        <f t="shared" si="1"/>
        <v>Friday</v>
      </c>
    </row>
    <row r="457" spans="1:13" x14ac:dyDescent="0.25">
      <c r="A457" s="6">
        <v>1456</v>
      </c>
      <c r="B457" s="7">
        <v>45065.131776481481</v>
      </c>
      <c r="C457" s="7">
        <v>45065.131776481481</v>
      </c>
      <c r="D457" s="8">
        <v>45065.131776481481</v>
      </c>
      <c r="E457" s="9" t="s">
        <v>244</v>
      </c>
      <c r="F457" s="9" t="s">
        <v>8</v>
      </c>
      <c r="G457" s="9" t="s">
        <v>30</v>
      </c>
      <c r="H457" s="9" t="s">
        <v>47</v>
      </c>
      <c r="I457" s="9">
        <v>2</v>
      </c>
      <c r="J457" s="9">
        <v>806</v>
      </c>
      <c r="K457" s="10">
        <v>1612</v>
      </c>
      <c r="L457" s="9">
        <f>HOUR([1]restaurant_sales_1200!$B457)</f>
        <v>3</v>
      </c>
      <c r="M457" s="9" t="str">
        <f t="shared" si="1"/>
        <v>Saturday</v>
      </c>
    </row>
    <row r="458" spans="1:13" x14ac:dyDescent="0.25">
      <c r="A458" s="6">
        <v>1457</v>
      </c>
      <c r="B458" s="7">
        <v>45065.435362800927</v>
      </c>
      <c r="C458" s="7">
        <v>45065.435362800927</v>
      </c>
      <c r="D458" s="8">
        <v>45065.435362800927</v>
      </c>
      <c r="E458" s="9" t="s">
        <v>48</v>
      </c>
      <c r="F458" s="9" t="s">
        <v>19</v>
      </c>
      <c r="G458" s="9" t="s">
        <v>6</v>
      </c>
      <c r="H458" s="9" t="s">
        <v>10</v>
      </c>
      <c r="I458" s="9">
        <v>5</v>
      </c>
      <c r="J458" s="9">
        <v>948</v>
      </c>
      <c r="K458" s="10">
        <v>4740</v>
      </c>
      <c r="L458" s="9">
        <f>HOUR([1]restaurant_sales_1200!$B458)</f>
        <v>10</v>
      </c>
      <c r="M458" s="9" t="str">
        <f t="shared" si="1"/>
        <v>Sunday</v>
      </c>
    </row>
    <row r="459" spans="1:13" x14ac:dyDescent="0.25">
      <c r="A459" s="6">
        <v>1458</v>
      </c>
      <c r="B459" s="7">
        <v>45065.738949120372</v>
      </c>
      <c r="C459" s="7">
        <v>45065.738949120372</v>
      </c>
      <c r="D459" s="8">
        <v>45065.738949120372</v>
      </c>
      <c r="E459" s="9" t="s">
        <v>245</v>
      </c>
      <c r="F459" s="9" t="s">
        <v>8</v>
      </c>
      <c r="G459" s="9" t="s">
        <v>2</v>
      </c>
      <c r="H459" s="9" t="s">
        <v>26</v>
      </c>
      <c r="I459" s="9">
        <v>3</v>
      </c>
      <c r="J459" s="9">
        <v>481</v>
      </c>
      <c r="K459" s="10">
        <v>1443</v>
      </c>
      <c r="L459" s="9">
        <f>HOUR([1]restaurant_sales_1200!$B459)</f>
        <v>17</v>
      </c>
      <c r="M459" s="9" t="str">
        <f t="shared" si="1"/>
        <v>Monday</v>
      </c>
    </row>
    <row r="460" spans="1:13" x14ac:dyDescent="0.25">
      <c r="A460" s="6">
        <v>1459</v>
      </c>
      <c r="B460" s="7">
        <v>45066.042535451386</v>
      </c>
      <c r="C460" s="7">
        <v>45066.042535451386</v>
      </c>
      <c r="D460" s="8">
        <v>45066.042535451386</v>
      </c>
      <c r="E460" s="9" t="s">
        <v>196</v>
      </c>
      <c r="F460" s="9" t="s">
        <v>1</v>
      </c>
      <c r="G460" s="9" t="s">
        <v>15</v>
      </c>
      <c r="H460" s="9" t="s">
        <v>24</v>
      </c>
      <c r="I460" s="9">
        <v>2</v>
      </c>
      <c r="J460" s="9">
        <v>847</v>
      </c>
      <c r="K460" s="10">
        <v>1694</v>
      </c>
      <c r="L460" s="9">
        <f>HOUR([1]restaurant_sales_1200!$B460)</f>
        <v>1</v>
      </c>
      <c r="M460" s="9" t="str">
        <f t="shared" si="1"/>
        <v>Tuesday</v>
      </c>
    </row>
    <row r="461" spans="1:13" x14ac:dyDescent="0.25">
      <c r="A461" s="6">
        <v>1460</v>
      </c>
      <c r="B461" s="7">
        <v>45066.346121770832</v>
      </c>
      <c r="C461" s="7">
        <v>45066.346121770832</v>
      </c>
      <c r="D461" s="8">
        <v>45066.346121770832</v>
      </c>
      <c r="E461" s="9" t="s">
        <v>209</v>
      </c>
      <c r="F461" s="9" t="s">
        <v>19</v>
      </c>
      <c r="G461" s="9" t="s">
        <v>9</v>
      </c>
      <c r="H461" s="9" t="s">
        <v>3</v>
      </c>
      <c r="I461" s="9">
        <v>3</v>
      </c>
      <c r="J461" s="9">
        <v>539</v>
      </c>
      <c r="K461" s="10">
        <v>1617</v>
      </c>
      <c r="L461" s="9">
        <f>HOUR([1]restaurant_sales_1200!$B461)</f>
        <v>8</v>
      </c>
      <c r="M461" s="9" t="str">
        <f t="shared" si="1"/>
        <v>Wednesday</v>
      </c>
    </row>
    <row r="462" spans="1:13" x14ac:dyDescent="0.25">
      <c r="A462" s="6">
        <v>1461</v>
      </c>
      <c r="B462" s="7">
        <v>45066.649708090277</v>
      </c>
      <c r="C462" s="7">
        <v>45066.649708090277</v>
      </c>
      <c r="D462" s="8">
        <v>45066.649708090277</v>
      </c>
      <c r="E462" s="9" t="s">
        <v>246</v>
      </c>
      <c r="F462" s="9" t="s">
        <v>8</v>
      </c>
      <c r="G462" s="9" t="s">
        <v>6</v>
      </c>
      <c r="H462" s="9" t="s">
        <v>24</v>
      </c>
      <c r="I462" s="9">
        <v>1</v>
      </c>
      <c r="J462" s="9">
        <v>703</v>
      </c>
      <c r="K462" s="10">
        <v>703</v>
      </c>
      <c r="L462" s="9">
        <f>HOUR([1]restaurant_sales_1200!$B462)</f>
        <v>15</v>
      </c>
      <c r="M462" s="9" t="str">
        <f t="shared" si="1"/>
        <v>Thursday</v>
      </c>
    </row>
    <row r="463" spans="1:13" x14ac:dyDescent="0.25">
      <c r="A463" s="6">
        <v>1462</v>
      </c>
      <c r="B463" s="7">
        <v>45066.953294409723</v>
      </c>
      <c r="C463" s="7">
        <v>45066.953294409723</v>
      </c>
      <c r="D463" s="8">
        <v>45066.953294409723</v>
      </c>
      <c r="E463" s="9" t="s">
        <v>247</v>
      </c>
      <c r="F463" s="9" t="s">
        <v>19</v>
      </c>
      <c r="G463" s="9" t="s">
        <v>2</v>
      </c>
      <c r="H463" s="9" t="s">
        <v>13</v>
      </c>
      <c r="I463" s="9">
        <v>2</v>
      </c>
      <c r="J463" s="9">
        <v>120</v>
      </c>
      <c r="K463" s="10">
        <v>240</v>
      </c>
      <c r="L463" s="9">
        <f>HOUR([1]restaurant_sales_1200!$B463)</f>
        <v>22</v>
      </c>
      <c r="M463" s="9" t="str">
        <f t="shared" si="1"/>
        <v>Friday</v>
      </c>
    </row>
    <row r="464" spans="1:13" x14ac:dyDescent="0.25">
      <c r="A464" s="6">
        <v>1463</v>
      </c>
      <c r="B464" s="7">
        <v>45067.256880729168</v>
      </c>
      <c r="C464" s="7">
        <v>45067.256880729168</v>
      </c>
      <c r="D464" s="8">
        <v>45067.256880729168</v>
      </c>
      <c r="E464" s="9" t="s">
        <v>130</v>
      </c>
      <c r="F464" s="9" t="s">
        <v>1</v>
      </c>
      <c r="G464" s="9" t="s">
        <v>2</v>
      </c>
      <c r="H464" s="9" t="s">
        <v>24</v>
      </c>
      <c r="I464" s="9">
        <v>5</v>
      </c>
      <c r="J464" s="9">
        <v>402</v>
      </c>
      <c r="K464" s="10">
        <v>2010</v>
      </c>
      <c r="L464" s="9">
        <f>HOUR([1]restaurant_sales_1200!$B464)</f>
        <v>6</v>
      </c>
      <c r="M464" s="9" t="str">
        <f t="shared" si="1"/>
        <v>Saturday</v>
      </c>
    </row>
    <row r="465" spans="1:13" x14ac:dyDescent="0.25">
      <c r="A465" s="6">
        <v>1464</v>
      </c>
      <c r="B465" s="7">
        <v>45067.560467060182</v>
      </c>
      <c r="C465" s="7">
        <v>45067.560467060182</v>
      </c>
      <c r="D465" s="8">
        <v>45067.560467060182</v>
      </c>
      <c r="E465" s="9" t="s">
        <v>248</v>
      </c>
      <c r="F465" s="9" t="s">
        <v>1</v>
      </c>
      <c r="G465" s="9" t="s">
        <v>9</v>
      </c>
      <c r="H465" s="9" t="s">
        <v>20</v>
      </c>
      <c r="I465" s="9">
        <v>2</v>
      </c>
      <c r="J465" s="9">
        <v>968</v>
      </c>
      <c r="K465" s="10">
        <v>1936</v>
      </c>
      <c r="L465" s="9">
        <f>HOUR([1]restaurant_sales_1200!$B465)</f>
        <v>13</v>
      </c>
      <c r="M465" s="9" t="str">
        <f t="shared" si="1"/>
        <v>Sunday</v>
      </c>
    </row>
    <row r="466" spans="1:13" x14ac:dyDescent="0.25">
      <c r="A466" s="6">
        <v>1465</v>
      </c>
      <c r="B466" s="7">
        <v>45067.864053379628</v>
      </c>
      <c r="C466" s="7">
        <v>45067.864053379628</v>
      </c>
      <c r="D466" s="8">
        <v>45067.864053379628</v>
      </c>
      <c r="E466" s="9" t="s">
        <v>184</v>
      </c>
      <c r="F466" s="9" t="s">
        <v>8</v>
      </c>
      <c r="G466" s="9" t="s">
        <v>6</v>
      </c>
      <c r="H466" s="9" t="s">
        <v>20</v>
      </c>
      <c r="I466" s="9">
        <v>2</v>
      </c>
      <c r="J466" s="9">
        <v>183</v>
      </c>
      <c r="K466" s="10">
        <v>366</v>
      </c>
      <c r="L466" s="9">
        <f>HOUR([1]restaurant_sales_1200!$B466)</f>
        <v>20</v>
      </c>
      <c r="M466" s="9" t="str">
        <f t="shared" si="1"/>
        <v>Monday</v>
      </c>
    </row>
    <row r="467" spans="1:13" x14ac:dyDescent="0.25">
      <c r="A467" s="6">
        <v>1466</v>
      </c>
      <c r="B467" s="7">
        <v>45068.167639699073</v>
      </c>
      <c r="C467" s="7">
        <v>45068.167639699073</v>
      </c>
      <c r="D467" s="8">
        <v>45068.167639699073</v>
      </c>
      <c r="E467" s="9" t="s">
        <v>74</v>
      </c>
      <c r="F467" s="9" t="s">
        <v>19</v>
      </c>
      <c r="G467" s="9" t="s">
        <v>2</v>
      </c>
      <c r="H467" s="9" t="s">
        <v>20</v>
      </c>
      <c r="I467" s="9">
        <v>2</v>
      </c>
      <c r="J467" s="9">
        <v>873</v>
      </c>
      <c r="K467" s="10">
        <v>1746</v>
      </c>
      <c r="L467" s="9">
        <f>HOUR([1]restaurant_sales_1200!$B467)</f>
        <v>4</v>
      </c>
      <c r="M467" s="9" t="str">
        <f t="shared" si="1"/>
        <v>Tuesday</v>
      </c>
    </row>
    <row r="468" spans="1:13" x14ac:dyDescent="0.25">
      <c r="A468" s="6">
        <v>1467</v>
      </c>
      <c r="B468" s="7">
        <v>45068.471226018519</v>
      </c>
      <c r="C468" s="7">
        <v>45068.471226018519</v>
      </c>
      <c r="D468" s="8">
        <v>45068.471226018519</v>
      </c>
      <c r="E468" s="9" t="s">
        <v>168</v>
      </c>
      <c r="F468" s="9" t="s">
        <v>5</v>
      </c>
      <c r="G468" s="9" t="s">
        <v>30</v>
      </c>
      <c r="H468" s="9" t="s">
        <v>26</v>
      </c>
      <c r="I468" s="9">
        <v>2</v>
      </c>
      <c r="J468" s="9">
        <v>758</v>
      </c>
      <c r="K468" s="10">
        <v>1516</v>
      </c>
      <c r="L468" s="9">
        <f>HOUR([1]restaurant_sales_1200!$B468)</f>
        <v>11</v>
      </c>
      <c r="M468" s="9" t="str">
        <f t="shared" si="1"/>
        <v>Wednesday</v>
      </c>
    </row>
    <row r="469" spans="1:13" x14ac:dyDescent="0.25">
      <c r="A469" s="6">
        <v>1468</v>
      </c>
      <c r="B469" s="7">
        <v>45068.774812337964</v>
      </c>
      <c r="C469" s="7">
        <v>45068.774812337964</v>
      </c>
      <c r="D469" s="8">
        <v>45068.774812337964</v>
      </c>
      <c r="E469" s="9" t="s">
        <v>188</v>
      </c>
      <c r="F469" s="9" t="s">
        <v>1</v>
      </c>
      <c r="G469" s="9" t="s">
        <v>9</v>
      </c>
      <c r="H469" s="9" t="s">
        <v>3</v>
      </c>
      <c r="I469" s="9">
        <v>3</v>
      </c>
      <c r="J469" s="9">
        <v>552</v>
      </c>
      <c r="K469" s="10">
        <v>1656</v>
      </c>
      <c r="L469" s="9">
        <f>HOUR([1]restaurant_sales_1200!$B469)</f>
        <v>18</v>
      </c>
      <c r="M469" s="9" t="str">
        <f t="shared" si="1"/>
        <v>Thursday</v>
      </c>
    </row>
    <row r="470" spans="1:13" x14ac:dyDescent="0.25">
      <c r="A470" s="6">
        <v>1469</v>
      </c>
      <c r="B470" s="7">
        <v>45069.078398668978</v>
      </c>
      <c r="C470" s="7">
        <v>45069.078398668978</v>
      </c>
      <c r="D470" s="8">
        <v>45069.078398668978</v>
      </c>
      <c r="E470" s="9" t="s">
        <v>249</v>
      </c>
      <c r="F470" s="9" t="s">
        <v>5</v>
      </c>
      <c r="G470" s="9" t="s">
        <v>30</v>
      </c>
      <c r="H470" s="9" t="s">
        <v>13</v>
      </c>
      <c r="I470" s="9">
        <v>1</v>
      </c>
      <c r="J470" s="9">
        <v>486</v>
      </c>
      <c r="K470" s="10">
        <v>486</v>
      </c>
      <c r="L470" s="9">
        <f>HOUR([1]restaurant_sales_1200!$B470)</f>
        <v>1</v>
      </c>
      <c r="M470" s="9" t="str">
        <f t="shared" si="1"/>
        <v>Friday</v>
      </c>
    </row>
    <row r="471" spans="1:13" x14ac:dyDescent="0.25">
      <c r="A471" s="6">
        <v>1470</v>
      </c>
      <c r="B471" s="7">
        <v>45069.381984988424</v>
      </c>
      <c r="C471" s="7">
        <v>45069.381984988424</v>
      </c>
      <c r="D471" s="8">
        <v>45069.381984988424</v>
      </c>
      <c r="E471" s="9" t="s">
        <v>250</v>
      </c>
      <c r="F471" s="9" t="s">
        <v>8</v>
      </c>
      <c r="G471" s="9" t="s">
        <v>9</v>
      </c>
      <c r="H471" s="9" t="s">
        <v>47</v>
      </c>
      <c r="I471" s="9">
        <v>4</v>
      </c>
      <c r="J471" s="9">
        <v>606</v>
      </c>
      <c r="K471" s="10">
        <v>2424</v>
      </c>
      <c r="L471" s="9">
        <f>HOUR([1]restaurant_sales_1200!$B471)</f>
        <v>9</v>
      </c>
      <c r="M471" s="9" t="str">
        <f t="shared" si="1"/>
        <v>Saturday</v>
      </c>
    </row>
    <row r="472" spans="1:13" x14ac:dyDescent="0.25">
      <c r="A472" s="6">
        <v>1471</v>
      </c>
      <c r="B472" s="7">
        <v>45069.685571307869</v>
      </c>
      <c r="C472" s="7">
        <v>45069.685571307869</v>
      </c>
      <c r="D472" s="8">
        <v>45069.685571307869</v>
      </c>
      <c r="E472" s="9" t="s">
        <v>178</v>
      </c>
      <c r="F472" s="9" t="s">
        <v>1</v>
      </c>
      <c r="G472" s="9" t="s">
        <v>15</v>
      </c>
      <c r="H472" s="9" t="s">
        <v>47</v>
      </c>
      <c r="I472" s="9">
        <v>2</v>
      </c>
      <c r="J472" s="9">
        <v>356</v>
      </c>
      <c r="K472" s="10">
        <v>712</v>
      </c>
      <c r="L472" s="9">
        <f>HOUR([1]restaurant_sales_1200!$B472)</f>
        <v>16</v>
      </c>
      <c r="M472" s="9" t="str">
        <f t="shared" si="1"/>
        <v>Sunday</v>
      </c>
    </row>
    <row r="473" spans="1:13" x14ac:dyDescent="0.25">
      <c r="A473" s="6">
        <v>1472</v>
      </c>
      <c r="B473" s="7">
        <v>45069.989157627315</v>
      </c>
      <c r="C473" s="7">
        <v>45069.989157627315</v>
      </c>
      <c r="D473" s="8">
        <v>45069.989157627315</v>
      </c>
      <c r="E473" s="9" t="s">
        <v>178</v>
      </c>
      <c r="F473" s="9" t="s">
        <v>5</v>
      </c>
      <c r="G473" s="9" t="s">
        <v>15</v>
      </c>
      <c r="H473" s="9" t="s">
        <v>24</v>
      </c>
      <c r="I473" s="9">
        <v>5</v>
      </c>
      <c r="J473" s="9">
        <v>669</v>
      </c>
      <c r="K473" s="10">
        <v>3345</v>
      </c>
      <c r="L473" s="9">
        <f>HOUR([1]restaurant_sales_1200!$B473)</f>
        <v>23</v>
      </c>
      <c r="M473" s="9" t="str">
        <f t="shared" si="1"/>
        <v>Monday</v>
      </c>
    </row>
    <row r="474" spans="1:13" x14ac:dyDescent="0.25">
      <c r="A474" s="6">
        <v>1473</v>
      </c>
      <c r="B474" s="7">
        <v>45070.292743958336</v>
      </c>
      <c r="C474" s="7">
        <v>45070.292743958336</v>
      </c>
      <c r="D474" s="8">
        <v>45070.292743958336</v>
      </c>
      <c r="E474" s="9" t="s">
        <v>160</v>
      </c>
      <c r="F474" s="9" t="s">
        <v>1</v>
      </c>
      <c r="G474" s="9" t="s">
        <v>6</v>
      </c>
      <c r="H474" s="9" t="s">
        <v>24</v>
      </c>
      <c r="I474" s="9">
        <v>2</v>
      </c>
      <c r="J474" s="9">
        <v>991</v>
      </c>
      <c r="K474" s="10">
        <v>1982</v>
      </c>
      <c r="L474" s="9">
        <f>HOUR([1]restaurant_sales_1200!$B474)</f>
        <v>7</v>
      </c>
      <c r="M474" s="9" t="str">
        <f t="shared" si="1"/>
        <v>Tuesday</v>
      </c>
    </row>
    <row r="475" spans="1:13" x14ac:dyDescent="0.25">
      <c r="A475" s="6">
        <v>1474</v>
      </c>
      <c r="B475" s="7">
        <v>45070.596330277775</v>
      </c>
      <c r="C475" s="7">
        <v>45070.596330277775</v>
      </c>
      <c r="D475" s="8">
        <v>45070.596330277775</v>
      </c>
      <c r="E475" s="9" t="s">
        <v>237</v>
      </c>
      <c r="F475" s="9" t="s">
        <v>5</v>
      </c>
      <c r="G475" s="9" t="s">
        <v>2</v>
      </c>
      <c r="H475" s="9" t="s">
        <v>13</v>
      </c>
      <c r="I475" s="9">
        <v>5</v>
      </c>
      <c r="J475" s="9">
        <v>626</v>
      </c>
      <c r="K475" s="10">
        <v>3130</v>
      </c>
      <c r="L475" s="9">
        <f>HOUR([1]restaurant_sales_1200!$B475)</f>
        <v>14</v>
      </c>
      <c r="M475" s="9" t="str">
        <f t="shared" si="1"/>
        <v>Wednesday</v>
      </c>
    </row>
    <row r="476" spans="1:13" x14ac:dyDescent="0.25">
      <c r="A476" s="6">
        <v>1475</v>
      </c>
      <c r="B476" s="7">
        <v>45070.89991659722</v>
      </c>
      <c r="C476" s="7">
        <v>45070.89991659722</v>
      </c>
      <c r="D476" s="8">
        <v>45070.89991659722</v>
      </c>
      <c r="E476" s="9" t="s">
        <v>163</v>
      </c>
      <c r="F476" s="9" t="s">
        <v>19</v>
      </c>
      <c r="G476" s="9" t="s">
        <v>30</v>
      </c>
      <c r="H476" s="9" t="s">
        <v>31</v>
      </c>
      <c r="I476" s="9">
        <v>3</v>
      </c>
      <c r="J476" s="9">
        <v>261</v>
      </c>
      <c r="K476" s="10">
        <v>783</v>
      </c>
      <c r="L476" s="9">
        <f>HOUR([1]restaurant_sales_1200!$B476)</f>
        <v>21</v>
      </c>
      <c r="M476" s="9" t="str">
        <f t="shared" si="1"/>
        <v>Thursday</v>
      </c>
    </row>
    <row r="477" spans="1:13" x14ac:dyDescent="0.25">
      <c r="A477" s="6">
        <v>1476</v>
      </c>
      <c r="B477" s="7">
        <v>45071.203502916665</v>
      </c>
      <c r="C477" s="7">
        <v>45071.203502916665</v>
      </c>
      <c r="D477" s="8">
        <v>45071.203502916665</v>
      </c>
      <c r="E477" s="9" t="s">
        <v>251</v>
      </c>
      <c r="F477" s="9" t="s">
        <v>19</v>
      </c>
      <c r="G477" s="9" t="s">
        <v>2</v>
      </c>
      <c r="H477" s="9" t="s">
        <v>13</v>
      </c>
      <c r="I477" s="9">
        <v>5</v>
      </c>
      <c r="J477" s="9">
        <v>262</v>
      </c>
      <c r="K477" s="10">
        <v>1310</v>
      </c>
      <c r="L477" s="9">
        <f>HOUR([1]restaurant_sales_1200!$B477)</f>
        <v>4</v>
      </c>
      <c r="M477" s="9" t="str">
        <f t="shared" si="1"/>
        <v>Friday</v>
      </c>
    </row>
    <row r="478" spans="1:13" x14ac:dyDescent="0.25">
      <c r="A478" s="6">
        <v>1477</v>
      </c>
      <c r="B478" s="7">
        <v>45071.507089236111</v>
      </c>
      <c r="C478" s="7">
        <v>45071.507089236111</v>
      </c>
      <c r="D478" s="8">
        <v>45071.507089236111</v>
      </c>
      <c r="E478" s="9" t="s">
        <v>138</v>
      </c>
      <c r="F478" s="9" t="s">
        <v>8</v>
      </c>
      <c r="G478" s="9" t="s">
        <v>15</v>
      </c>
      <c r="H478" s="9" t="s">
        <v>24</v>
      </c>
      <c r="I478" s="9">
        <v>4</v>
      </c>
      <c r="J478" s="9">
        <v>931</v>
      </c>
      <c r="K478" s="10">
        <v>3724</v>
      </c>
      <c r="L478" s="9">
        <f>HOUR([1]restaurant_sales_1200!$B478)</f>
        <v>12</v>
      </c>
      <c r="M478" s="9" t="str">
        <f t="shared" si="1"/>
        <v>Saturday</v>
      </c>
    </row>
    <row r="479" spans="1:13" x14ac:dyDescent="0.25">
      <c r="A479" s="6">
        <v>1478</v>
      </c>
      <c r="B479" s="7">
        <v>45071.810675567132</v>
      </c>
      <c r="C479" s="7">
        <v>45071.810675567132</v>
      </c>
      <c r="D479" s="8">
        <v>45071.810675567132</v>
      </c>
      <c r="E479" s="9" t="s">
        <v>207</v>
      </c>
      <c r="F479" s="9" t="s">
        <v>1</v>
      </c>
      <c r="G479" s="9" t="s">
        <v>30</v>
      </c>
      <c r="H479" s="9" t="s">
        <v>16</v>
      </c>
      <c r="I479" s="9">
        <v>1</v>
      </c>
      <c r="J479" s="9">
        <v>892</v>
      </c>
      <c r="K479" s="10">
        <v>892</v>
      </c>
      <c r="L479" s="9">
        <f>HOUR([1]restaurant_sales_1200!$B479)</f>
        <v>19</v>
      </c>
      <c r="M479" s="9" t="str">
        <f t="shared" si="1"/>
        <v>Sunday</v>
      </c>
    </row>
    <row r="480" spans="1:13" x14ac:dyDescent="0.25">
      <c r="A480" s="6">
        <v>1479</v>
      </c>
      <c r="B480" s="7">
        <v>45072.114261886571</v>
      </c>
      <c r="C480" s="7">
        <v>45072.114261886571</v>
      </c>
      <c r="D480" s="8">
        <v>45072.114261886571</v>
      </c>
      <c r="E480" s="9" t="s">
        <v>158</v>
      </c>
      <c r="F480" s="9" t="s">
        <v>5</v>
      </c>
      <c r="G480" s="9" t="s">
        <v>6</v>
      </c>
      <c r="H480" s="9" t="s">
        <v>26</v>
      </c>
      <c r="I480" s="9">
        <v>5</v>
      </c>
      <c r="J480" s="9">
        <v>891</v>
      </c>
      <c r="K480" s="10">
        <v>4455</v>
      </c>
      <c r="L480" s="9">
        <f>HOUR([1]restaurant_sales_1200!$B480)</f>
        <v>2</v>
      </c>
      <c r="M480" s="9" t="str">
        <f t="shared" si="1"/>
        <v>Monday</v>
      </c>
    </row>
    <row r="481" spans="1:13" x14ac:dyDescent="0.25">
      <c r="A481" s="6">
        <v>1480</v>
      </c>
      <c r="B481" s="7">
        <v>45072.417848206016</v>
      </c>
      <c r="C481" s="7">
        <v>45072.417848206016</v>
      </c>
      <c r="D481" s="8">
        <v>45072.417848206016</v>
      </c>
      <c r="E481" s="9" t="s">
        <v>252</v>
      </c>
      <c r="F481" s="9" t="s">
        <v>8</v>
      </c>
      <c r="G481" s="9" t="s">
        <v>2</v>
      </c>
      <c r="H481" s="9" t="s">
        <v>26</v>
      </c>
      <c r="I481" s="9">
        <v>5</v>
      </c>
      <c r="J481" s="9">
        <v>623</v>
      </c>
      <c r="K481" s="10">
        <v>3115</v>
      </c>
      <c r="L481" s="9">
        <f>HOUR([1]restaurant_sales_1200!$B481)</f>
        <v>10</v>
      </c>
      <c r="M481" s="9" t="str">
        <f t="shared" si="1"/>
        <v>Tuesday</v>
      </c>
    </row>
    <row r="482" spans="1:13" x14ac:dyDescent="0.25">
      <c r="A482" s="6">
        <v>1481</v>
      </c>
      <c r="B482" s="7">
        <v>45072.721434525462</v>
      </c>
      <c r="C482" s="7">
        <v>45072.721434525462</v>
      </c>
      <c r="D482" s="8">
        <v>45072.721434525462</v>
      </c>
      <c r="E482" s="9" t="s">
        <v>27</v>
      </c>
      <c r="F482" s="9" t="s">
        <v>19</v>
      </c>
      <c r="G482" s="9" t="s">
        <v>9</v>
      </c>
      <c r="H482" s="9" t="s">
        <v>10</v>
      </c>
      <c r="I482" s="9">
        <v>1</v>
      </c>
      <c r="J482" s="9">
        <v>885</v>
      </c>
      <c r="K482" s="10">
        <v>885</v>
      </c>
      <c r="L482" s="9">
        <f>HOUR([1]restaurant_sales_1200!$B482)</f>
        <v>17</v>
      </c>
      <c r="M482" s="9" t="str">
        <f t="shared" si="1"/>
        <v>Wednesday</v>
      </c>
    </row>
    <row r="483" spans="1:13" x14ac:dyDescent="0.25">
      <c r="A483" s="6">
        <v>1482</v>
      </c>
      <c r="B483" s="7">
        <v>45073.025020856483</v>
      </c>
      <c r="C483" s="7">
        <v>45073.025020856483</v>
      </c>
      <c r="D483" s="8">
        <v>45073.025020856483</v>
      </c>
      <c r="E483" s="9" t="s">
        <v>195</v>
      </c>
      <c r="F483" s="9" t="s">
        <v>19</v>
      </c>
      <c r="G483" s="9" t="s">
        <v>9</v>
      </c>
      <c r="H483" s="9" t="s">
        <v>24</v>
      </c>
      <c r="I483" s="9">
        <v>4</v>
      </c>
      <c r="J483" s="9">
        <v>370</v>
      </c>
      <c r="K483" s="10">
        <v>1480</v>
      </c>
      <c r="L483" s="9">
        <f>HOUR([1]restaurant_sales_1200!$B483)</f>
        <v>0</v>
      </c>
      <c r="M483" s="9" t="str">
        <f t="shared" si="1"/>
        <v>Thursday</v>
      </c>
    </row>
    <row r="484" spans="1:13" x14ac:dyDescent="0.25">
      <c r="A484" s="6">
        <v>1483</v>
      </c>
      <c r="B484" s="7">
        <v>45073.328607175928</v>
      </c>
      <c r="C484" s="7">
        <v>45073.328607175928</v>
      </c>
      <c r="D484" s="8">
        <v>45073.328607175928</v>
      </c>
      <c r="E484" s="9" t="s">
        <v>241</v>
      </c>
      <c r="F484" s="9" t="s">
        <v>8</v>
      </c>
      <c r="G484" s="9" t="s">
        <v>30</v>
      </c>
      <c r="H484" s="9" t="s">
        <v>3</v>
      </c>
      <c r="I484" s="9">
        <v>2</v>
      </c>
      <c r="J484" s="9">
        <v>591</v>
      </c>
      <c r="K484" s="10">
        <v>1182</v>
      </c>
      <c r="L484" s="9">
        <f>HOUR([1]restaurant_sales_1200!$B484)</f>
        <v>7</v>
      </c>
      <c r="M484" s="9" t="str">
        <f t="shared" si="1"/>
        <v>Friday</v>
      </c>
    </row>
    <row r="485" spans="1:13" x14ac:dyDescent="0.25">
      <c r="A485" s="6">
        <v>1484</v>
      </c>
      <c r="B485" s="7">
        <v>45073.632193495374</v>
      </c>
      <c r="C485" s="7">
        <v>45073.632193495374</v>
      </c>
      <c r="D485" s="8">
        <v>45073.632193495374</v>
      </c>
      <c r="E485" s="9" t="s">
        <v>152</v>
      </c>
      <c r="F485" s="9" t="s">
        <v>1</v>
      </c>
      <c r="G485" s="9" t="s">
        <v>9</v>
      </c>
      <c r="H485" s="9" t="s">
        <v>10</v>
      </c>
      <c r="I485" s="9">
        <v>5</v>
      </c>
      <c r="J485" s="9">
        <v>307</v>
      </c>
      <c r="K485" s="10">
        <v>1535</v>
      </c>
      <c r="L485" s="9">
        <f>HOUR([1]restaurant_sales_1200!$B485)</f>
        <v>15</v>
      </c>
      <c r="M485" s="9" t="str">
        <f t="shared" si="1"/>
        <v>Saturday</v>
      </c>
    </row>
    <row r="486" spans="1:13" x14ac:dyDescent="0.25">
      <c r="A486" s="6">
        <v>1485</v>
      </c>
      <c r="B486" s="7">
        <v>45073.935779814812</v>
      </c>
      <c r="C486" s="7">
        <v>45073.935779814812</v>
      </c>
      <c r="D486" s="8">
        <v>45073.935779814812</v>
      </c>
      <c r="E486" s="9" t="s">
        <v>36</v>
      </c>
      <c r="F486" s="9" t="s">
        <v>5</v>
      </c>
      <c r="G486" s="9" t="s">
        <v>9</v>
      </c>
      <c r="H486" s="9" t="s">
        <v>33</v>
      </c>
      <c r="I486" s="9">
        <v>1</v>
      </c>
      <c r="J486" s="9">
        <v>638</v>
      </c>
      <c r="K486" s="10">
        <v>638</v>
      </c>
      <c r="L486" s="9">
        <f>HOUR([1]restaurant_sales_1200!$B486)</f>
        <v>22</v>
      </c>
      <c r="M486" s="9" t="str">
        <f t="shared" si="1"/>
        <v>Sunday</v>
      </c>
    </row>
    <row r="487" spans="1:13" x14ac:dyDescent="0.25">
      <c r="A487" s="6">
        <v>1486</v>
      </c>
      <c r="B487" s="7">
        <v>45074.239366134258</v>
      </c>
      <c r="C487" s="7">
        <v>45074.239366134258</v>
      </c>
      <c r="D487" s="8">
        <v>45074.239366134258</v>
      </c>
      <c r="E487" s="9" t="s">
        <v>223</v>
      </c>
      <c r="F487" s="9" t="s">
        <v>19</v>
      </c>
      <c r="G487" s="9" t="s">
        <v>15</v>
      </c>
      <c r="H487" s="9" t="s">
        <v>24</v>
      </c>
      <c r="I487" s="9">
        <v>3</v>
      </c>
      <c r="J487" s="9">
        <v>683</v>
      </c>
      <c r="K487" s="10">
        <v>2049</v>
      </c>
      <c r="L487" s="9">
        <f>HOUR([1]restaurant_sales_1200!$B487)</f>
        <v>5</v>
      </c>
      <c r="M487" s="9" t="str">
        <f t="shared" si="1"/>
        <v>Monday</v>
      </c>
    </row>
    <row r="488" spans="1:13" x14ac:dyDescent="0.25">
      <c r="A488" s="6">
        <v>1487</v>
      </c>
      <c r="B488" s="7">
        <v>45074.542952465279</v>
      </c>
      <c r="C488" s="7">
        <v>45074.542952465279</v>
      </c>
      <c r="D488" s="8">
        <v>45074.542952465279</v>
      </c>
      <c r="E488" s="9" t="s">
        <v>4</v>
      </c>
      <c r="F488" s="9" t="s">
        <v>8</v>
      </c>
      <c r="G488" s="9" t="s">
        <v>6</v>
      </c>
      <c r="H488" s="9" t="s">
        <v>31</v>
      </c>
      <c r="I488" s="9">
        <v>1</v>
      </c>
      <c r="J488" s="9">
        <v>159</v>
      </c>
      <c r="K488" s="10">
        <v>159</v>
      </c>
      <c r="L488" s="9">
        <f>HOUR([1]restaurant_sales_1200!$B488)</f>
        <v>13</v>
      </c>
      <c r="M488" s="9" t="str">
        <f t="shared" si="1"/>
        <v>Tuesday</v>
      </c>
    </row>
    <row r="489" spans="1:13" x14ac:dyDescent="0.25">
      <c r="A489" s="6">
        <v>1488</v>
      </c>
      <c r="B489" s="7">
        <v>45074.846538784725</v>
      </c>
      <c r="C489" s="7">
        <v>45074.846538784725</v>
      </c>
      <c r="D489" s="8">
        <v>45074.846538784725</v>
      </c>
      <c r="E489" s="9" t="s">
        <v>65</v>
      </c>
      <c r="F489" s="9" t="s">
        <v>19</v>
      </c>
      <c r="G489" s="9" t="s">
        <v>9</v>
      </c>
      <c r="H489" s="9" t="s">
        <v>33</v>
      </c>
      <c r="I489" s="9">
        <v>3</v>
      </c>
      <c r="J489" s="9">
        <v>529</v>
      </c>
      <c r="K489" s="10">
        <v>1587</v>
      </c>
      <c r="L489" s="9">
        <f>HOUR([1]restaurant_sales_1200!$B489)</f>
        <v>20</v>
      </c>
      <c r="M489" s="9" t="str">
        <f t="shared" si="1"/>
        <v>Wednesday</v>
      </c>
    </row>
    <row r="490" spans="1:13" x14ac:dyDescent="0.25">
      <c r="A490" s="6">
        <v>1489</v>
      </c>
      <c r="B490" s="7">
        <v>45075.15012510417</v>
      </c>
      <c r="C490" s="7">
        <v>45075.15012510417</v>
      </c>
      <c r="D490" s="8">
        <v>45075.15012510417</v>
      </c>
      <c r="E490" s="9" t="s">
        <v>11</v>
      </c>
      <c r="F490" s="9" t="s">
        <v>19</v>
      </c>
      <c r="G490" s="9" t="s">
        <v>9</v>
      </c>
      <c r="H490" s="9" t="s">
        <v>10</v>
      </c>
      <c r="I490" s="9">
        <v>4</v>
      </c>
      <c r="J490" s="9">
        <v>756</v>
      </c>
      <c r="K490" s="10">
        <v>3024</v>
      </c>
      <c r="L490" s="9">
        <f>HOUR([1]restaurant_sales_1200!$B490)</f>
        <v>3</v>
      </c>
      <c r="M490" s="9" t="str">
        <f t="shared" si="1"/>
        <v>Thursday</v>
      </c>
    </row>
    <row r="491" spans="1:13" x14ac:dyDescent="0.25">
      <c r="A491" s="6">
        <v>1490</v>
      </c>
      <c r="B491" s="7">
        <v>45075.453711423608</v>
      </c>
      <c r="C491" s="7">
        <v>45075.453711423608</v>
      </c>
      <c r="D491" s="8">
        <v>45075.453711423608</v>
      </c>
      <c r="E491" s="9" t="s">
        <v>143</v>
      </c>
      <c r="F491" s="9" t="s">
        <v>5</v>
      </c>
      <c r="G491" s="9" t="s">
        <v>2</v>
      </c>
      <c r="H491" s="9" t="s">
        <v>47</v>
      </c>
      <c r="I491" s="9">
        <v>2</v>
      </c>
      <c r="J491" s="9">
        <v>704</v>
      </c>
      <c r="K491" s="10">
        <v>1408</v>
      </c>
      <c r="L491" s="9">
        <f>HOUR([1]restaurant_sales_1200!$B491)</f>
        <v>10</v>
      </c>
      <c r="M491" s="9" t="str">
        <f t="shared" si="1"/>
        <v>Friday</v>
      </c>
    </row>
    <row r="492" spans="1:13" x14ac:dyDescent="0.25">
      <c r="A492" s="6">
        <v>1491</v>
      </c>
      <c r="B492" s="7">
        <v>45075.757297743054</v>
      </c>
      <c r="C492" s="7">
        <v>45075.757297743054</v>
      </c>
      <c r="D492" s="8">
        <v>45075.757297743054</v>
      </c>
      <c r="E492" s="9" t="s">
        <v>203</v>
      </c>
      <c r="F492" s="9" t="s">
        <v>1</v>
      </c>
      <c r="G492" s="9" t="s">
        <v>30</v>
      </c>
      <c r="H492" s="9" t="s">
        <v>33</v>
      </c>
      <c r="I492" s="9">
        <v>1</v>
      </c>
      <c r="J492" s="9">
        <v>408</v>
      </c>
      <c r="K492" s="10">
        <v>408</v>
      </c>
      <c r="L492" s="9">
        <f>HOUR([1]restaurant_sales_1200!$B492)</f>
        <v>18</v>
      </c>
      <c r="M492" s="9" t="str">
        <f t="shared" si="1"/>
        <v>Saturday</v>
      </c>
    </row>
    <row r="493" spans="1:13" x14ac:dyDescent="0.25">
      <c r="A493" s="6">
        <v>1492</v>
      </c>
      <c r="B493" s="7">
        <v>45076.060884074075</v>
      </c>
      <c r="C493" s="7">
        <v>45076.060884074075</v>
      </c>
      <c r="D493" s="8">
        <v>45076.060884074075</v>
      </c>
      <c r="E493" s="9" t="s">
        <v>253</v>
      </c>
      <c r="F493" s="9" t="s">
        <v>1</v>
      </c>
      <c r="G493" s="9" t="s">
        <v>15</v>
      </c>
      <c r="H493" s="9" t="s">
        <v>33</v>
      </c>
      <c r="I493" s="9">
        <v>5</v>
      </c>
      <c r="J493" s="9">
        <v>619</v>
      </c>
      <c r="K493" s="10">
        <v>3095</v>
      </c>
      <c r="L493" s="9">
        <f>HOUR([1]restaurant_sales_1200!$B493)</f>
        <v>1</v>
      </c>
      <c r="M493" s="9" t="str">
        <f t="shared" si="1"/>
        <v>Sunday</v>
      </c>
    </row>
    <row r="494" spans="1:13" x14ac:dyDescent="0.25">
      <c r="A494" s="6">
        <v>1493</v>
      </c>
      <c r="B494" s="7">
        <v>45076.364470393521</v>
      </c>
      <c r="C494" s="7">
        <v>45076.364470393521</v>
      </c>
      <c r="D494" s="8">
        <v>45076.364470393521</v>
      </c>
      <c r="E494" s="9" t="s">
        <v>254</v>
      </c>
      <c r="F494" s="9" t="s">
        <v>5</v>
      </c>
      <c r="G494" s="9" t="s">
        <v>30</v>
      </c>
      <c r="H494" s="9" t="s">
        <v>20</v>
      </c>
      <c r="I494" s="9">
        <v>4</v>
      </c>
      <c r="J494" s="9">
        <v>690</v>
      </c>
      <c r="K494" s="10">
        <v>2760</v>
      </c>
      <c r="L494" s="9">
        <f>HOUR([1]restaurant_sales_1200!$B494)</f>
        <v>8</v>
      </c>
      <c r="M494" s="9" t="str">
        <f t="shared" si="1"/>
        <v>Monday</v>
      </c>
    </row>
    <row r="495" spans="1:13" x14ac:dyDescent="0.25">
      <c r="A495" s="6">
        <v>1494</v>
      </c>
      <c r="B495" s="7">
        <v>45076.668056712966</v>
      </c>
      <c r="C495" s="7">
        <v>45076.668056712966</v>
      </c>
      <c r="D495" s="8">
        <v>45076.668056712966</v>
      </c>
      <c r="E495" s="9" t="s">
        <v>255</v>
      </c>
      <c r="F495" s="9" t="s">
        <v>8</v>
      </c>
      <c r="G495" s="9" t="s">
        <v>2</v>
      </c>
      <c r="H495" s="9" t="s">
        <v>3</v>
      </c>
      <c r="I495" s="9">
        <v>1</v>
      </c>
      <c r="J495" s="9">
        <v>126</v>
      </c>
      <c r="K495" s="10">
        <v>126</v>
      </c>
      <c r="L495" s="9">
        <f>HOUR([1]restaurant_sales_1200!$B495)</f>
        <v>16</v>
      </c>
      <c r="M495" s="9" t="str">
        <f t="shared" si="1"/>
        <v>Tuesday</v>
      </c>
    </row>
    <row r="496" spans="1:13" x14ac:dyDescent="0.25">
      <c r="A496" s="6">
        <v>1495</v>
      </c>
      <c r="B496" s="7">
        <v>45076.971643032404</v>
      </c>
      <c r="C496" s="7">
        <v>45076.971643032404</v>
      </c>
      <c r="D496" s="8">
        <v>45076.971643032404</v>
      </c>
      <c r="E496" s="9" t="s">
        <v>256</v>
      </c>
      <c r="F496" s="9" t="s">
        <v>8</v>
      </c>
      <c r="G496" s="9" t="s">
        <v>2</v>
      </c>
      <c r="H496" s="9" t="s">
        <v>47</v>
      </c>
      <c r="I496" s="9">
        <v>5</v>
      </c>
      <c r="J496" s="9">
        <v>785</v>
      </c>
      <c r="K496" s="10">
        <v>3925</v>
      </c>
      <c r="L496" s="9">
        <f>HOUR([1]restaurant_sales_1200!$B496)</f>
        <v>23</v>
      </c>
      <c r="M496" s="9" t="str">
        <f t="shared" si="1"/>
        <v>Wednesday</v>
      </c>
    </row>
    <row r="497" spans="1:13" x14ac:dyDescent="0.25">
      <c r="A497" s="6">
        <v>1496</v>
      </c>
      <c r="B497" s="7">
        <v>45077.275229363426</v>
      </c>
      <c r="C497" s="7">
        <v>45077.275229363426</v>
      </c>
      <c r="D497" s="8">
        <v>45077.275229363426</v>
      </c>
      <c r="E497" s="9" t="s">
        <v>257</v>
      </c>
      <c r="F497" s="9" t="s">
        <v>1</v>
      </c>
      <c r="G497" s="9" t="s">
        <v>2</v>
      </c>
      <c r="H497" s="9" t="s">
        <v>3</v>
      </c>
      <c r="I497" s="9">
        <v>1</v>
      </c>
      <c r="J497" s="9">
        <v>661</v>
      </c>
      <c r="K497" s="10">
        <v>661</v>
      </c>
      <c r="L497" s="9">
        <f>HOUR([1]restaurant_sales_1200!$B497)</f>
        <v>6</v>
      </c>
      <c r="M497" s="9" t="str">
        <f t="shared" si="1"/>
        <v>Thursday</v>
      </c>
    </row>
    <row r="498" spans="1:13" x14ac:dyDescent="0.25">
      <c r="A498" s="6">
        <v>1497</v>
      </c>
      <c r="B498" s="7">
        <v>45077.578815682871</v>
      </c>
      <c r="C498" s="7">
        <v>45077.578815682871</v>
      </c>
      <c r="D498" s="8">
        <v>45077.578815682871</v>
      </c>
      <c r="E498" s="9" t="s">
        <v>258</v>
      </c>
      <c r="F498" s="9" t="s">
        <v>19</v>
      </c>
      <c r="G498" s="9" t="s">
        <v>9</v>
      </c>
      <c r="H498" s="9" t="s">
        <v>3</v>
      </c>
      <c r="I498" s="9">
        <v>3</v>
      </c>
      <c r="J498" s="9">
        <v>298</v>
      </c>
      <c r="K498" s="10">
        <v>894</v>
      </c>
      <c r="L498" s="9">
        <f>HOUR([1]restaurant_sales_1200!$B498)</f>
        <v>13</v>
      </c>
      <c r="M498" s="9" t="str">
        <f t="shared" si="1"/>
        <v>Friday</v>
      </c>
    </row>
    <row r="499" spans="1:13" x14ac:dyDescent="0.25">
      <c r="A499" s="6">
        <v>1498</v>
      </c>
      <c r="B499" s="7">
        <v>45077.882402002317</v>
      </c>
      <c r="C499" s="7">
        <v>45077.882402002317</v>
      </c>
      <c r="D499" s="8">
        <v>45077.882402002317</v>
      </c>
      <c r="E499" s="9" t="s">
        <v>101</v>
      </c>
      <c r="F499" s="9" t="s">
        <v>19</v>
      </c>
      <c r="G499" s="9" t="s">
        <v>30</v>
      </c>
      <c r="H499" s="9" t="s">
        <v>47</v>
      </c>
      <c r="I499" s="9">
        <v>1</v>
      </c>
      <c r="J499" s="9">
        <v>486</v>
      </c>
      <c r="K499" s="10">
        <v>486</v>
      </c>
      <c r="L499" s="9">
        <f>HOUR([1]restaurant_sales_1200!$B499)</f>
        <v>21</v>
      </c>
      <c r="M499" s="9" t="str">
        <f t="shared" si="1"/>
        <v>Saturday</v>
      </c>
    </row>
    <row r="500" spans="1:13" x14ac:dyDescent="0.25">
      <c r="A500" s="6">
        <v>1499</v>
      </c>
      <c r="B500" s="7">
        <v>45078.185988321762</v>
      </c>
      <c r="C500" s="7">
        <v>45078.185988321762</v>
      </c>
      <c r="D500" s="8">
        <v>45078.185988321762</v>
      </c>
      <c r="E500" s="9" t="s">
        <v>164</v>
      </c>
      <c r="F500" s="9" t="s">
        <v>8</v>
      </c>
      <c r="G500" s="9" t="s">
        <v>30</v>
      </c>
      <c r="H500" s="9" t="s">
        <v>33</v>
      </c>
      <c r="I500" s="9">
        <v>1</v>
      </c>
      <c r="J500" s="9">
        <v>448</v>
      </c>
      <c r="K500" s="10">
        <v>448</v>
      </c>
      <c r="L500" s="9">
        <f>HOUR([1]restaurant_sales_1200!$B500)</f>
        <v>4</v>
      </c>
      <c r="M500" s="9" t="str">
        <f t="shared" si="1"/>
        <v>Sunday</v>
      </c>
    </row>
    <row r="501" spans="1:13" x14ac:dyDescent="0.25">
      <c r="A501" s="6">
        <v>1500</v>
      </c>
      <c r="B501" s="7">
        <v>45078.4895746412</v>
      </c>
      <c r="C501" s="7">
        <v>45078.4895746412</v>
      </c>
      <c r="D501" s="8">
        <v>45078.4895746412</v>
      </c>
      <c r="E501" s="9" t="s">
        <v>223</v>
      </c>
      <c r="F501" s="9" t="s">
        <v>5</v>
      </c>
      <c r="G501" s="9" t="s">
        <v>30</v>
      </c>
      <c r="H501" s="9" t="s">
        <v>3</v>
      </c>
      <c r="I501" s="9">
        <v>1</v>
      </c>
      <c r="J501" s="9">
        <v>792</v>
      </c>
      <c r="K501" s="10">
        <v>792</v>
      </c>
      <c r="L501" s="9">
        <f>HOUR([1]restaurant_sales_1200!$B501)</f>
        <v>11</v>
      </c>
      <c r="M501" s="9" t="str">
        <f t="shared" si="1"/>
        <v>Monday</v>
      </c>
    </row>
    <row r="502" spans="1:13" x14ac:dyDescent="0.25">
      <c r="A502" s="6">
        <v>1501</v>
      </c>
      <c r="B502" s="7">
        <v>45078.793160972222</v>
      </c>
      <c r="C502" s="7">
        <v>45078.793160972222</v>
      </c>
      <c r="D502" s="8">
        <v>45078.793160972222</v>
      </c>
      <c r="E502" s="9" t="s">
        <v>259</v>
      </c>
      <c r="F502" s="9" t="s">
        <v>19</v>
      </c>
      <c r="G502" s="9" t="s">
        <v>6</v>
      </c>
      <c r="H502" s="9" t="s">
        <v>20</v>
      </c>
      <c r="I502" s="9">
        <v>4</v>
      </c>
      <c r="J502" s="9">
        <v>635</v>
      </c>
      <c r="K502" s="10">
        <v>2540</v>
      </c>
      <c r="L502" s="9">
        <f>HOUR([1]restaurant_sales_1200!$B502)</f>
        <v>19</v>
      </c>
      <c r="M502" s="9" t="str">
        <f t="shared" si="1"/>
        <v>Tuesday</v>
      </c>
    </row>
    <row r="503" spans="1:13" x14ac:dyDescent="0.25">
      <c r="A503" s="6">
        <v>1502</v>
      </c>
      <c r="B503" s="7">
        <v>45079.096747291667</v>
      </c>
      <c r="C503" s="7">
        <v>45079.096747291667</v>
      </c>
      <c r="D503" s="8">
        <v>45079.096747291667</v>
      </c>
      <c r="E503" s="9" t="s">
        <v>124</v>
      </c>
      <c r="F503" s="9" t="s">
        <v>8</v>
      </c>
      <c r="G503" s="9" t="s">
        <v>15</v>
      </c>
      <c r="H503" s="9" t="s">
        <v>24</v>
      </c>
      <c r="I503" s="9">
        <v>1</v>
      </c>
      <c r="J503" s="9">
        <v>927</v>
      </c>
      <c r="K503" s="10">
        <v>927</v>
      </c>
      <c r="L503" s="9">
        <f>HOUR([1]restaurant_sales_1200!$B503)</f>
        <v>2</v>
      </c>
      <c r="M503" s="9" t="str">
        <f t="shared" si="1"/>
        <v>Wednesday</v>
      </c>
    </row>
    <row r="504" spans="1:13" x14ac:dyDescent="0.25">
      <c r="A504" s="6">
        <v>1503</v>
      </c>
      <c r="B504" s="7">
        <v>45079.400333611113</v>
      </c>
      <c r="C504" s="7">
        <v>45079.400333611113</v>
      </c>
      <c r="D504" s="8">
        <v>45079.400333611113</v>
      </c>
      <c r="E504" s="9" t="s">
        <v>260</v>
      </c>
      <c r="F504" s="9" t="s">
        <v>5</v>
      </c>
      <c r="G504" s="9" t="s">
        <v>9</v>
      </c>
      <c r="H504" s="9" t="s">
        <v>33</v>
      </c>
      <c r="I504" s="9">
        <v>5</v>
      </c>
      <c r="J504" s="9">
        <v>477</v>
      </c>
      <c r="K504" s="10">
        <v>2385</v>
      </c>
      <c r="L504" s="9">
        <f>HOUR([1]restaurant_sales_1200!$B504)</f>
        <v>9</v>
      </c>
      <c r="M504" s="9" t="str">
        <f t="shared" si="1"/>
        <v>Thursday</v>
      </c>
    </row>
    <row r="505" spans="1:13" x14ac:dyDescent="0.25">
      <c r="A505" s="6">
        <v>1504</v>
      </c>
      <c r="B505" s="7">
        <v>45079.703919930558</v>
      </c>
      <c r="C505" s="7">
        <v>45079.703919930558</v>
      </c>
      <c r="D505" s="8">
        <v>45079.703919930558</v>
      </c>
      <c r="E505" s="9" t="s">
        <v>38</v>
      </c>
      <c r="F505" s="9" t="s">
        <v>1</v>
      </c>
      <c r="G505" s="9" t="s">
        <v>15</v>
      </c>
      <c r="H505" s="9" t="s">
        <v>13</v>
      </c>
      <c r="I505" s="9">
        <v>3</v>
      </c>
      <c r="J505" s="9">
        <v>998</v>
      </c>
      <c r="K505" s="10">
        <v>2994</v>
      </c>
      <c r="L505" s="9">
        <f>HOUR([1]restaurant_sales_1200!$B505)</f>
        <v>16</v>
      </c>
      <c r="M505" s="9" t="str">
        <f t="shared" si="1"/>
        <v>Friday</v>
      </c>
    </row>
    <row r="506" spans="1:13" x14ac:dyDescent="0.25">
      <c r="A506" s="6">
        <v>1505</v>
      </c>
      <c r="B506" s="7">
        <v>45080.007506249996</v>
      </c>
      <c r="C506" s="7">
        <v>45080.007506249996</v>
      </c>
      <c r="D506" s="8">
        <v>45080.007506249996</v>
      </c>
      <c r="E506" s="9" t="s">
        <v>226</v>
      </c>
      <c r="F506" s="9" t="s">
        <v>5</v>
      </c>
      <c r="G506" s="9" t="s">
        <v>9</v>
      </c>
      <c r="H506" s="9" t="s">
        <v>16</v>
      </c>
      <c r="I506" s="9">
        <v>3</v>
      </c>
      <c r="J506" s="9">
        <v>657</v>
      </c>
      <c r="K506" s="10">
        <v>1971</v>
      </c>
      <c r="L506" s="9">
        <f>HOUR([1]restaurant_sales_1200!$B506)</f>
        <v>0</v>
      </c>
      <c r="M506" s="9" t="str">
        <f t="shared" si="1"/>
        <v>Saturday</v>
      </c>
    </row>
    <row r="507" spans="1:13" x14ac:dyDescent="0.25">
      <c r="A507" s="6">
        <v>1506</v>
      </c>
      <c r="B507" s="7">
        <v>45080.311092581018</v>
      </c>
      <c r="C507" s="7">
        <v>45080.311092581018</v>
      </c>
      <c r="D507" s="8">
        <v>45080.311092581018</v>
      </c>
      <c r="E507" s="9" t="s">
        <v>261</v>
      </c>
      <c r="F507" s="9" t="s">
        <v>1</v>
      </c>
      <c r="G507" s="9" t="s">
        <v>30</v>
      </c>
      <c r="H507" s="9" t="s">
        <v>31</v>
      </c>
      <c r="I507" s="9">
        <v>1</v>
      </c>
      <c r="J507" s="9">
        <v>626</v>
      </c>
      <c r="K507" s="10">
        <v>626</v>
      </c>
      <c r="L507" s="9">
        <f>HOUR([1]restaurant_sales_1200!$B507)</f>
        <v>7</v>
      </c>
      <c r="M507" s="9" t="str">
        <f t="shared" si="1"/>
        <v>Sunday</v>
      </c>
    </row>
    <row r="508" spans="1:13" x14ac:dyDescent="0.25">
      <c r="A508" s="6">
        <v>1507</v>
      </c>
      <c r="B508" s="7">
        <v>45080.614678900463</v>
      </c>
      <c r="C508" s="7">
        <v>45080.614678900463</v>
      </c>
      <c r="D508" s="8">
        <v>45080.614678900463</v>
      </c>
      <c r="E508" s="9" t="s">
        <v>262</v>
      </c>
      <c r="F508" s="9" t="s">
        <v>8</v>
      </c>
      <c r="G508" s="9" t="s">
        <v>6</v>
      </c>
      <c r="H508" s="9" t="s">
        <v>26</v>
      </c>
      <c r="I508" s="9">
        <v>4</v>
      </c>
      <c r="J508" s="9">
        <v>252</v>
      </c>
      <c r="K508" s="10">
        <v>1008</v>
      </c>
      <c r="L508" s="9">
        <f>HOUR([1]restaurant_sales_1200!$B508)</f>
        <v>14</v>
      </c>
      <c r="M508" s="9" t="str">
        <f t="shared" si="1"/>
        <v>Monday</v>
      </c>
    </row>
    <row r="509" spans="1:13" x14ac:dyDescent="0.25">
      <c r="A509" s="6">
        <v>1508</v>
      </c>
      <c r="B509" s="7">
        <v>45080.918265219909</v>
      </c>
      <c r="C509" s="7">
        <v>45080.918265219909</v>
      </c>
      <c r="D509" s="8">
        <v>45080.918265219909</v>
      </c>
      <c r="E509" s="9" t="s">
        <v>179</v>
      </c>
      <c r="F509" s="9" t="s">
        <v>5</v>
      </c>
      <c r="G509" s="9" t="s">
        <v>6</v>
      </c>
      <c r="H509" s="9" t="s">
        <v>24</v>
      </c>
      <c r="I509" s="9">
        <v>4</v>
      </c>
      <c r="J509" s="9">
        <v>833</v>
      </c>
      <c r="K509" s="10">
        <v>3332</v>
      </c>
      <c r="L509" s="9">
        <f>HOUR([1]restaurant_sales_1200!$B509)</f>
        <v>22</v>
      </c>
      <c r="M509" s="9" t="str">
        <f t="shared" si="1"/>
        <v>Tuesday</v>
      </c>
    </row>
    <row r="510" spans="1:13" x14ac:dyDescent="0.25">
      <c r="A510" s="6">
        <v>1509</v>
      </c>
      <c r="B510" s="7">
        <v>45081.221851539354</v>
      </c>
      <c r="C510" s="7">
        <v>45081.221851539354</v>
      </c>
      <c r="D510" s="8">
        <v>45081.221851539354</v>
      </c>
      <c r="E510" s="9" t="s">
        <v>81</v>
      </c>
      <c r="F510" s="9" t="s">
        <v>8</v>
      </c>
      <c r="G510" s="9" t="s">
        <v>30</v>
      </c>
      <c r="H510" s="9" t="s">
        <v>20</v>
      </c>
      <c r="I510" s="9">
        <v>5</v>
      </c>
      <c r="J510" s="9">
        <v>305</v>
      </c>
      <c r="K510" s="10">
        <v>1525</v>
      </c>
      <c r="L510" s="9">
        <f>HOUR([1]restaurant_sales_1200!$B510)</f>
        <v>5</v>
      </c>
      <c r="M510" s="9" t="str">
        <f t="shared" si="1"/>
        <v>Wednesday</v>
      </c>
    </row>
    <row r="511" spans="1:13" x14ac:dyDescent="0.25">
      <c r="A511" s="6">
        <v>1510</v>
      </c>
      <c r="B511" s="7">
        <v>45081.525437870368</v>
      </c>
      <c r="C511" s="7">
        <v>45081.525437870368</v>
      </c>
      <c r="D511" s="8">
        <v>45081.525437870368</v>
      </c>
      <c r="E511" s="9" t="s">
        <v>175</v>
      </c>
      <c r="F511" s="9" t="s">
        <v>1</v>
      </c>
      <c r="G511" s="9" t="s">
        <v>15</v>
      </c>
      <c r="H511" s="9" t="s">
        <v>24</v>
      </c>
      <c r="I511" s="9">
        <v>1</v>
      </c>
      <c r="J511" s="9">
        <v>554</v>
      </c>
      <c r="K511" s="10">
        <v>554</v>
      </c>
      <c r="L511" s="9">
        <f>HOUR([1]restaurant_sales_1200!$B511)</f>
        <v>12</v>
      </c>
      <c r="M511" s="9" t="str">
        <f t="shared" si="1"/>
        <v>Thursday</v>
      </c>
    </row>
    <row r="512" spans="1:13" x14ac:dyDescent="0.25">
      <c r="A512" s="6">
        <v>1511</v>
      </c>
      <c r="B512" s="7">
        <v>45081.829024189814</v>
      </c>
      <c r="C512" s="7">
        <v>45081.829024189814</v>
      </c>
      <c r="D512" s="8">
        <v>45081.829024189814</v>
      </c>
      <c r="E512" s="9" t="s">
        <v>263</v>
      </c>
      <c r="F512" s="9" t="s">
        <v>19</v>
      </c>
      <c r="G512" s="9" t="s">
        <v>2</v>
      </c>
      <c r="H512" s="9" t="s">
        <v>10</v>
      </c>
      <c r="I512" s="9">
        <v>3</v>
      </c>
      <c r="J512" s="9">
        <v>372</v>
      </c>
      <c r="K512" s="10">
        <v>1116</v>
      </c>
      <c r="L512" s="9">
        <f>HOUR([1]restaurant_sales_1200!$B512)</f>
        <v>19</v>
      </c>
      <c r="M512" s="9" t="str">
        <f t="shared" ref="M512:M766" si="2">TEXT(A512,"dddd")</f>
        <v>Friday</v>
      </c>
    </row>
    <row r="513" spans="1:13" x14ac:dyDescent="0.25">
      <c r="A513" s="6">
        <v>1512</v>
      </c>
      <c r="B513" s="7">
        <v>45082.132610509259</v>
      </c>
      <c r="C513" s="7">
        <v>45082.132610509259</v>
      </c>
      <c r="D513" s="8">
        <v>45082.132610509259</v>
      </c>
      <c r="E513" s="9" t="s">
        <v>253</v>
      </c>
      <c r="F513" s="9" t="s">
        <v>19</v>
      </c>
      <c r="G513" s="9" t="s">
        <v>30</v>
      </c>
      <c r="H513" s="9" t="s">
        <v>20</v>
      </c>
      <c r="I513" s="9">
        <v>4</v>
      </c>
      <c r="J513" s="9">
        <v>993</v>
      </c>
      <c r="K513" s="10">
        <v>3972</v>
      </c>
      <c r="L513" s="9">
        <f>HOUR([1]restaurant_sales_1200!$B513)</f>
        <v>3</v>
      </c>
      <c r="M513" s="9" t="str">
        <f t="shared" si="2"/>
        <v>Saturday</v>
      </c>
    </row>
    <row r="514" spans="1:13" x14ac:dyDescent="0.25">
      <c r="A514" s="6">
        <v>1513</v>
      </c>
      <c r="B514" s="7">
        <v>45082.436196828705</v>
      </c>
      <c r="C514" s="7">
        <v>45082.436196828705</v>
      </c>
      <c r="D514" s="8">
        <v>45082.436196828705</v>
      </c>
      <c r="E514" s="9" t="s">
        <v>211</v>
      </c>
      <c r="F514" s="9" t="s">
        <v>1</v>
      </c>
      <c r="G514" s="9" t="s">
        <v>9</v>
      </c>
      <c r="H514" s="9" t="s">
        <v>24</v>
      </c>
      <c r="I514" s="9">
        <v>1</v>
      </c>
      <c r="J514" s="9">
        <v>335</v>
      </c>
      <c r="K514" s="10">
        <v>335</v>
      </c>
      <c r="L514" s="9">
        <f>HOUR([1]restaurant_sales_1200!$B514)</f>
        <v>10</v>
      </c>
      <c r="M514" s="9" t="str">
        <f t="shared" si="2"/>
        <v>Sunday</v>
      </c>
    </row>
    <row r="515" spans="1:13" x14ac:dyDescent="0.25">
      <c r="A515" s="6">
        <v>1514</v>
      </c>
      <c r="B515" s="7">
        <v>45082.73978314815</v>
      </c>
      <c r="C515" s="7">
        <v>45082.73978314815</v>
      </c>
      <c r="D515" s="8">
        <v>45082.73978314815</v>
      </c>
      <c r="E515" s="9" t="s">
        <v>262</v>
      </c>
      <c r="F515" s="9" t="s">
        <v>19</v>
      </c>
      <c r="G515" s="9" t="s">
        <v>15</v>
      </c>
      <c r="H515" s="9" t="s">
        <v>3</v>
      </c>
      <c r="I515" s="9">
        <v>4</v>
      </c>
      <c r="J515" s="9">
        <v>951</v>
      </c>
      <c r="K515" s="10">
        <v>3804</v>
      </c>
      <c r="L515" s="9">
        <f>HOUR([1]restaurant_sales_1200!$B515)</f>
        <v>17</v>
      </c>
      <c r="M515" s="9" t="str">
        <f t="shared" si="2"/>
        <v>Monday</v>
      </c>
    </row>
    <row r="516" spans="1:13" x14ac:dyDescent="0.25">
      <c r="A516" s="6">
        <v>1515</v>
      </c>
      <c r="B516" s="7">
        <v>45083.043369479165</v>
      </c>
      <c r="C516" s="7">
        <v>45083.043369479165</v>
      </c>
      <c r="D516" s="8">
        <v>45083.043369479165</v>
      </c>
      <c r="E516" s="9" t="s">
        <v>129</v>
      </c>
      <c r="F516" s="9" t="s">
        <v>19</v>
      </c>
      <c r="G516" s="9" t="s">
        <v>2</v>
      </c>
      <c r="H516" s="9" t="s">
        <v>33</v>
      </c>
      <c r="I516" s="9">
        <v>4</v>
      </c>
      <c r="J516" s="9">
        <v>839</v>
      </c>
      <c r="K516" s="10">
        <v>3356</v>
      </c>
      <c r="L516" s="9">
        <f>HOUR([1]restaurant_sales_1200!$B516)</f>
        <v>1</v>
      </c>
      <c r="M516" s="9" t="str">
        <f t="shared" si="2"/>
        <v>Tuesday</v>
      </c>
    </row>
    <row r="517" spans="1:13" x14ac:dyDescent="0.25">
      <c r="A517" s="6">
        <v>1516</v>
      </c>
      <c r="B517" s="7">
        <v>45083.34695579861</v>
      </c>
      <c r="C517" s="7">
        <v>45083.34695579861</v>
      </c>
      <c r="D517" s="8">
        <v>45083.34695579861</v>
      </c>
      <c r="E517" s="9" t="s">
        <v>225</v>
      </c>
      <c r="F517" s="9" t="s">
        <v>5</v>
      </c>
      <c r="G517" s="9" t="s">
        <v>6</v>
      </c>
      <c r="H517" s="9" t="s">
        <v>10</v>
      </c>
      <c r="I517" s="9">
        <v>3</v>
      </c>
      <c r="J517" s="9">
        <v>620</v>
      </c>
      <c r="K517" s="10">
        <v>1860</v>
      </c>
      <c r="L517" s="9">
        <f>HOUR([1]restaurant_sales_1200!$B517)</f>
        <v>8</v>
      </c>
      <c r="M517" s="9" t="str">
        <f t="shared" si="2"/>
        <v>Wednesday</v>
      </c>
    </row>
    <row r="518" spans="1:13" x14ac:dyDescent="0.25">
      <c r="A518" s="6">
        <v>1517</v>
      </c>
      <c r="B518" s="7">
        <v>45083.650542118055</v>
      </c>
      <c r="C518" s="7">
        <v>45083.650542118055</v>
      </c>
      <c r="D518" s="8">
        <v>45083.650542118055</v>
      </c>
      <c r="E518" s="9" t="s">
        <v>264</v>
      </c>
      <c r="F518" s="9" t="s">
        <v>5</v>
      </c>
      <c r="G518" s="9" t="s">
        <v>9</v>
      </c>
      <c r="H518" s="9" t="s">
        <v>10</v>
      </c>
      <c r="I518" s="9">
        <v>2</v>
      </c>
      <c r="J518" s="9">
        <v>777</v>
      </c>
      <c r="K518" s="10">
        <v>1554</v>
      </c>
      <c r="L518" s="9">
        <f>HOUR([1]restaurant_sales_1200!$B518)</f>
        <v>15</v>
      </c>
      <c r="M518" s="9" t="str">
        <f t="shared" si="2"/>
        <v>Thursday</v>
      </c>
    </row>
    <row r="519" spans="1:13" x14ac:dyDescent="0.25">
      <c r="A519" s="6">
        <v>1518</v>
      </c>
      <c r="B519" s="7">
        <v>45083.954128437501</v>
      </c>
      <c r="C519" s="7">
        <v>45083.954128437501</v>
      </c>
      <c r="D519" s="8">
        <v>45083.954128437501</v>
      </c>
      <c r="E519" s="9" t="s">
        <v>178</v>
      </c>
      <c r="F519" s="9" t="s">
        <v>19</v>
      </c>
      <c r="G519" s="9" t="s">
        <v>6</v>
      </c>
      <c r="H519" s="9" t="s">
        <v>10</v>
      </c>
      <c r="I519" s="9">
        <v>5</v>
      </c>
      <c r="J519" s="9">
        <v>930</v>
      </c>
      <c r="K519" s="10">
        <v>4650</v>
      </c>
      <c r="L519" s="9">
        <f>HOUR([1]restaurant_sales_1200!$B519)</f>
        <v>22</v>
      </c>
      <c r="M519" s="9" t="str">
        <f t="shared" si="2"/>
        <v>Friday</v>
      </c>
    </row>
    <row r="520" spans="1:13" x14ac:dyDescent="0.25">
      <c r="A520" s="6">
        <v>1519</v>
      </c>
      <c r="B520" s="7">
        <v>45084.257714756946</v>
      </c>
      <c r="C520" s="7">
        <v>45084.257714756946</v>
      </c>
      <c r="D520" s="8">
        <v>45084.257714756946</v>
      </c>
      <c r="E520" s="9" t="s">
        <v>32</v>
      </c>
      <c r="F520" s="9" t="s">
        <v>5</v>
      </c>
      <c r="G520" s="9" t="s">
        <v>9</v>
      </c>
      <c r="H520" s="9" t="s">
        <v>13</v>
      </c>
      <c r="I520" s="9">
        <v>5</v>
      </c>
      <c r="J520" s="9">
        <v>825</v>
      </c>
      <c r="K520" s="10">
        <v>4125</v>
      </c>
      <c r="L520" s="9">
        <f>HOUR([1]restaurant_sales_1200!$B520)</f>
        <v>6</v>
      </c>
      <c r="M520" s="9" t="str">
        <f t="shared" si="2"/>
        <v>Saturday</v>
      </c>
    </row>
    <row r="521" spans="1:13" x14ac:dyDescent="0.25">
      <c r="A521" s="6">
        <v>1520</v>
      </c>
      <c r="B521" s="7">
        <v>45084.561301087961</v>
      </c>
      <c r="C521" s="7">
        <v>45084.561301087961</v>
      </c>
      <c r="D521" s="8">
        <v>45084.561301087961</v>
      </c>
      <c r="E521" s="9" t="s">
        <v>220</v>
      </c>
      <c r="F521" s="9" t="s">
        <v>1</v>
      </c>
      <c r="G521" s="9" t="s">
        <v>2</v>
      </c>
      <c r="H521" s="9" t="s">
        <v>24</v>
      </c>
      <c r="I521" s="9">
        <v>3</v>
      </c>
      <c r="J521" s="9">
        <v>600</v>
      </c>
      <c r="K521" s="10">
        <v>1800</v>
      </c>
      <c r="L521" s="9">
        <f>HOUR([1]restaurant_sales_1200!$B521)</f>
        <v>13</v>
      </c>
      <c r="M521" s="9" t="str">
        <f t="shared" si="2"/>
        <v>Sunday</v>
      </c>
    </row>
    <row r="522" spans="1:13" x14ac:dyDescent="0.25">
      <c r="A522" s="6">
        <v>1521</v>
      </c>
      <c r="B522" s="7">
        <v>45084.864887407406</v>
      </c>
      <c r="C522" s="7">
        <v>45084.864887407406</v>
      </c>
      <c r="D522" s="8">
        <v>45084.864887407406</v>
      </c>
      <c r="E522" s="9" t="s">
        <v>247</v>
      </c>
      <c r="F522" s="9" t="s">
        <v>5</v>
      </c>
      <c r="G522" s="9" t="s">
        <v>9</v>
      </c>
      <c r="H522" s="9" t="s">
        <v>33</v>
      </c>
      <c r="I522" s="9">
        <v>4</v>
      </c>
      <c r="J522" s="9">
        <v>216</v>
      </c>
      <c r="K522" s="10">
        <v>864</v>
      </c>
      <c r="L522" s="9">
        <f>HOUR([1]restaurant_sales_1200!$B522)</f>
        <v>20</v>
      </c>
      <c r="M522" s="9" t="str">
        <f t="shared" si="2"/>
        <v>Monday</v>
      </c>
    </row>
    <row r="523" spans="1:13" x14ac:dyDescent="0.25">
      <c r="A523" s="6">
        <v>1522</v>
      </c>
      <c r="B523" s="7">
        <v>45085.168473726852</v>
      </c>
      <c r="C523" s="7">
        <v>45085.168473726852</v>
      </c>
      <c r="D523" s="8">
        <v>45085.168473726852</v>
      </c>
      <c r="E523" s="9" t="s">
        <v>265</v>
      </c>
      <c r="F523" s="9" t="s">
        <v>5</v>
      </c>
      <c r="G523" s="9" t="s">
        <v>2</v>
      </c>
      <c r="H523" s="9" t="s">
        <v>33</v>
      </c>
      <c r="I523" s="9">
        <v>1</v>
      </c>
      <c r="J523" s="9">
        <v>485</v>
      </c>
      <c r="K523" s="10">
        <v>485</v>
      </c>
      <c r="L523" s="9">
        <f>HOUR([1]restaurant_sales_1200!$B523)</f>
        <v>4</v>
      </c>
      <c r="M523" s="9" t="str">
        <f t="shared" si="2"/>
        <v>Tuesday</v>
      </c>
    </row>
    <row r="524" spans="1:13" x14ac:dyDescent="0.25">
      <c r="A524" s="6">
        <v>1523</v>
      </c>
      <c r="B524" s="7">
        <v>45085.472060046297</v>
      </c>
      <c r="C524" s="7">
        <v>45085.472060046297</v>
      </c>
      <c r="D524" s="8">
        <v>45085.472060046297</v>
      </c>
      <c r="E524" s="9" t="s">
        <v>42</v>
      </c>
      <c r="F524" s="9" t="s">
        <v>5</v>
      </c>
      <c r="G524" s="9" t="s">
        <v>30</v>
      </c>
      <c r="H524" s="9" t="s">
        <v>3</v>
      </c>
      <c r="I524" s="9">
        <v>4</v>
      </c>
      <c r="J524" s="9">
        <v>443</v>
      </c>
      <c r="K524" s="10">
        <v>1772</v>
      </c>
      <c r="L524" s="9">
        <f>HOUR([1]restaurant_sales_1200!$B524)</f>
        <v>11</v>
      </c>
      <c r="M524" s="9" t="str">
        <f t="shared" si="2"/>
        <v>Wednesday</v>
      </c>
    </row>
    <row r="525" spans="1:13" x14ac:dyDescent="0.25">
      <c r="A525" s="6">
        <v>1524</v>
      </c>
      <c r="B525" s="7">
        <v>45085.775646377311</v>
      </c>
      <c r="C525" s="7">
        <v>45085.775646377311</v>
      </c>
      <c r="D525" s="8">
        <v>45085.775646377311</v>
      </c>
      <c r="E525" s="9" t="s">
        <v>143</v>
      </c>
      <c r="F525" s="9" t="s">
        <v>8</v>
      </c>
      <c r="G525" s="9" t="s">
        <v>30</v>
      </c>
      <c r="H525" s="9" t="s">
        <v>20</v>
      </c>
      <c r="I525" s="9">
        <v>3</v>
      </c>
      <c r="J525" s="9">
        <v>683</v>
      </c>
      <c r="K525" s="10">
        <v>2049</v>
      </c>
      <c r="L525" s="9">
        <f>HOUR([1]restaurant_sales_1200!$B525)</f>
        <v>18</v>
      </c>
      <c r="M525" s="9" t="str">
        <f t="shared" si="2"/>
        <v>Thursday</v>
      </c>
    </row>
    <row r="526" spans="1:13" x14ac:dyDescent="0.25">
      <c r="A526" s="6">
        <v>1525</v>
      </c>
      <c r="B526" s="7">
        <v>45086.079232696757</v>
      </c>
      <c r="C526" s="7">
        <v>45086.079232696757</v>
      </c>
      <c r="D526" s="8">
        <v>45086.079232696757</v>
      </c>
      <c r="E526" s="9" t="s">
        <v>266</v>
      </c>
      <c r="F526" s="9" t="s">
        <v>1</v>
      </c>
      <c r="G526" s="9" t="s">
        <v>9</v>
      </c>
      <c r="H526" s="9" t="s">
        <v>26</v>
      </c>
      <c r="I526" s="9">
        <v>5</v>
      </c>
      <c r="J526" s="9">
        <v>494</v>
      </c>
      <c r="K526" s="10">
        <v>2470</v>
      </c>
      <c r="L526" s="9">
        <f>HOUR([1]restaurant_sales_1200!$B526)</f>
        <v>1</v>
      </c>
      <c r="M526" s="9" t="str">
        <f t="shared" si="2"/>
        <v>Friday</v>
      </c>
    </row>
    <row r="527" spans="1:13" x14ac:dyDescent="0.25">
      <c r="A527" s="6">
        <v>1526</v>
      </c>
      <c r="B527" s="7">
        <v>45086.382819016202</v>
      </c>
      <c r="C527" s="7">
        <v>45086.382819016202</v>
      </c>
      <c r="D527" s="8">
        <v>45086.382819016202</v>
      </c>
      <c r="E527" s="9" t="s">
        <v>267</v>
      </c>
      <c r="F527" s="9" t="s">
        <v>19</v>
      </c>
      <c r="G527" s="9" t="s">
        <v>15</v>
      </c>
      <c r="H527" s="9" t="s">
        <v>16</v>
      </c>
      <c r="I527" s="9">
        <v>4</v>
      </c>
      <c r="J527" s="9">
        <v>163</v>
      </c>
      <c r="K527" s="10">
        <v>652</v>
      </c>
      <c r="L527" s="9">
        <f>HOUR([1]restaurant_sales_1200!$B527)</f>
        <v>9</v>
      </c>
      <c r="M527" s="9" t="str">
        <f t="shared" si="2"/>
        <v>Saturday</v>
      </c>
    </row>
    <row r="528" spans="1:13" x14ac:dyDescent="0.25">
      <c r="A528" s="6">
        <v>1527</v>
      </c>
      <c r="B528" s="7">
        <v>45086.686405335648</v>
      </c>
      <c r="C528" s="7">
        <v>45086.686405335648</v>
      </c>
      <c r="D528" s="8">
        <v>45086.686405335648</v>
      </c>
      <c r="E528" s="9" t="s">
        <v>95</v>
      </c>
      <c r="F528" s="9" t="s">
        <v>19</v>
      </c>
      <c r="G528" s="9" t="s">
        <v>6</v>
      </c>
      <c r="H528" s="9" t="s">
        <v>20</v>
      </c>
      <c r="I528" s="9">
        <v>5</v>
      </c>
      <c r="J528" s="9">
        <v>816</v>
      </c>
      <c r="K528" s="10">
        <v>4080</v>
      </c>
      <c r="L528" s="9">
        <f>HOUR([1]restaurant_sales_1200!$B528)</f>
        <v>16</v>
      </c>
      <c r="M528" s="9" t="str">
        <f t="shared" si="2"/>
        <v>Sunday</v>
      </c>
    </row>
    <row r="529" spans="1:13" x14ac:dyDescent="0.25">
      <c r="A529" s="6">
        <v>1528</v>
      </c>
      <c r="B529" s="7">
        <v>45086.989991655093</v>
      </c>
      <c r="C529" s="7">
        <v>45086.989991655093</v>
      </c>
      <c r="D529" s="8">
        <v>45086.989991655093</v>
      </c>
      <c r="E529" s="9" t="s">
        <v>217</v>
      </c>
      <c r="F529" s="9" t="s">
        <v>8</v>
      </c>
      <c r="G529" s="9" t="s">
        <v>9</v>
      </c>
      <c r="H529" s="9" t="s">
        <v>13</v>
      </c>
      <c r="I529" s="9">
        <v>1</v>
      </c>
      <c r="J529" s="9">
        <v>820</v>
      </c>
      <c r="K529" s="10">
        <v>820</v>
      </c>
      <c r="L529" s="9">
        <f>HOUR([1]restaurant_sales_1200!$B529)</f>
        <v>23</v>
      </c>
      <c r="M529" s="9" t="str">
        <f t="shared" si="2"/>
        <v>Monday</v>
      </c>
    </row>
    <row r="530" spans="1:13" x14ac:dyDescent="0.25">
      <c r="A530" s="6">
        <v>1529</v>
      </c>
      <c r="B530" s="7">
        <v>45087.293577986115</v>
      </c>
      <c r="C530" s="7">
        <v>45087.293577986115</v>
      </c>
      <c r="D530" s="8">
        <v>45087.293577986115</v>
      </c>
      <c r="E530" s="9" t="s">
        <v>239</v>
      </c>
      <c r="F530" s="9" t="s">
        <v>5</v>
      </c>
      <c r="G530" s="9" t="s">
        <v>9</v>
      </c>
      <c r="H530" s="9" t="s">
        <v>26</v>
      </c>
      <c r="I530" s="9">
        <v>5</v>
      </c>
      <c r="J530" s="9">
        <v>171</v>
      </c>
      <c r="K530" s="10">
        <v>855</v>
      </c>
      <c r="L530" s="9">
        <f>HOUR([1]restaurant_sales_1200!$B530)</f>
        <v>7</v>
      </c>
      <c r="M530" s="9" t="str">
        <f t="shared" si="2"/>
        <v>Tuesday</v>
      </c>
    </row>
    <row r="531" spans="1:13" x14ac:dyDescent="0.25">
      <c r="A531" s="6">
        <v>1530</v>
      </c>
      <c r="B531" s="7">
        <v>45087.597164305553</v>
      </c>
      <c r="C531" s="7">
        <v>45087.597164305553</v>
      </c>
      <c r="D531" s="8">
        <v>45087.597164305553</v>
      </c>
      <c r="E531" s="9" t="s">
        <v>139</v>
      </c>
      <c r="F531" s="9" t="s">
        <v>1</v>
      </c>
      <c r="G531" s="9" t="s">
        <v>6</v>
      </c>
      <c r="H531" s="9" t="s">
        <v>24</v>
      </c>
      <c r="I531" s="9">
        <v>5</v>
      </c>
      <c r="J531" s="9">
        <v>888</v>
      </c>
      <c r="K531" s="10">
        <v>4440</v>
      </c>
      <c r="L531" s="9">
        <f>HOUR([1]restaurant_sales_1200!$B531)</f>
        <v>14</v>
      </c>
      <c r="M531" s="9" t="str">
        <f t="shared" si="2"/>
        <v>Wednesday</v>
      </c>
    </row>
    <row r="532" spans="1:13" x14ac:dyDescent="0.25">
      <c r="A532" s="6">
        <v>1531</v>
      </c>
      <c r="B532" s="7">
        <v>45087.900750624998</v>
      </c>
      <c r="C532" s="7">
        <v>45087.900750624998</v>
      </c>
      <c r="D532" s="8">
        <v>45087.900750624998</v>
      </c>
      <c r="E532" s="9" t="s">
        <v>135</v>
      </c>
      <c r="F532" s="9" t="s">
        <v>1</v>
      </c>
      <c r="G532" s="9" t="s">
        <v>9</v>
      </c>
      <c r="H532" s="9" t="s">
        <v>26</v>
      </c>
      <c r="I532" s="9">
        <v>2</v>
      </c>
      <c r="J532" s="9">
        <v>373</v>
      </c>
      <c r="K532" s="10">
        <v>746</v>
      </c>
      <c r="L532" s="9">
        <f>HOUR([1]restaurant_sales_1200!$B532)</f>
        <v>21</v>
      </c>
      <c r="M532" s="9" t="str">
        <f t="shared" si="2"/>
        <v>Thursday</v>
      </c>
    </row>
    <row r="533" spans="1:13" x14ac:dyDescent="0.25">
      <c r="A533" s="6">
        <v>1532</v>
      </c>
      <c r="B533" s="7">
        <v>45088.204336944444</v>
      </c>
      <c r="C533" s="7">
        <v>45088.204336944444</v>
      </c>
      <c r="D533" s="8">
        <v>45088.204336944444</v>
      </c>
      <c r="E533" s="9" t="s">
        <v>7</v>
      </c>
      <c r="F533" s="9" t="s">
        <v>19</v>
      </c>
      <c r="G533" s="9" t="s">
        <v>6</v>
      </c>
      <c r="H533" s="9" t="s">
        <v>20</v>
      </c>
      <c r="I533" s="9">
        <v>2</v>
      </c>
      <c r="J533" s="9">
        <v>419</v>
      </c>
      <c r="K533" s="10">
        <v>838</v>
      </c>
      <c r="L533" s="9">
        <f>HOUR([1]restaurant_sales_1200!$B533)</f>
        <v>4</v>
      </c>
      <c r="M533" s="9" t="str">
        <f t="shared" si="2"/>
        <v>Friday</v>
      </c>
    </row>
    <row r="534" spans="1:13" x14ac:dyDescent="0.25">
      <c r="A534" s="6">
        <v>1533</v>
      </c>
      <c r="B534" s="7">
        <v>45088.507923263889</v>
      </c>
      <c r="C534" s="7">
        <v>45088.507923263889</v>
      </c>
      <c r="D534" s="8">
        <v>45088.507923263889</v>
      </c>
      <c r="E534" s="9" t="s">
        <v>268</v>
      </c>
      <c r="F534" s="9" t="s">
        <v>8</v>
      </c>
      <c r="G534" s="9" t="s">
        <v>2</v>
      </c>
      <c r="H534" s="9" t="s">
        <v>20</v>
      </c>
      <c r="I534" s="9">
        <v>2</v>
      </c>
      <c r="J534" s="9">
        <v>437</v>
      </c>
      <c r="K534" s="10">
        <v>874</v>
      </c>
      <c r="L534" s="9">
        <f>HOUR([1]restaurant_sales_1200!$B534)</f>
        <v>12</v>
      </c>
      <c r="M534" s="9" t="str">
        <f t="shared" si="2"/>
        <v>Saturday</v>
      </c>
    </row>
    <row r="535" spans="1:13" x14ac:dyDescent="0.25">
      <c r="A535" s="6">
        <v>1534</v>
      </c>
      <c r="B535" s="7">
        <v>45088.811509594911</v>
      </c>
      <c r="C535" s="7">
        <v>45088.811509594911</v>
      </c>
      <c r="D535" s="8">
        <v>45088.811509594911</v>
      </c>
      <c r="E535" s="9" t="s">
        <v>269</v>
      </c>
      <c r="F535" s="9" t="s">
        <v>8</v>
      </c>
      <c r="G535" s="9" t="s">
        <v>15</v>
      </c>
      <c r="H535" s="9" t="s">
        <v>3</v>
      </c>
      <c r="I535" s="9">
        <v>5</v>
      </c>
      <c r="J535" s="9">
        <v>465</v>
      </c>
      <c r="K535" s="10">
        <v>2325</v>
      </c>
      <c r="L535" s="9">
        <f>HOUR([1]restaurant_sales_1200!$B535)</f>
        <v>19</v>
      </c>
      <c r="M535" s="9" t="str">
        <f t="shared" si="2"/>
        <v>Sunday</v>
      </c>
    </row>
    <row r="536" spans="1:13" x14ac:dyDescent="0.25">
      <c r="A536" s="6">
        <v>1535</v>
      </c>
      <c r="B536" s="7">
        <v>45089.115095914349</v>
      </c>
      <c r="C536" s="7">
        <v>45089.115095914349</v>
      </c>
      <c r="D536" s="8">
        <v>45089.115095914349</v>
      </c>
      <c r="E536" s="9" t="s">
        <v>184</v>
      </c>
      <c r="F536" s="9" t="s">
        <v>8</v>
      </c>
      <c r="G536" s="9" t="s">
        <v>30</v>
      </c>
      <c r="H536" s="9" t="s">
        <v>16</v>
      </c>
      <c r="I536" s="9">
        <v>3</v>
      </c>
      <c r="J536" s="9">
        <v>594</v>
      </c>
      <c r="K536" s="10">
        <v>1782</v>
      </c>
      <c r="L536" s="9">
        <f>HOUR([1]restaurant_sales_1200!$B536)</f>
        <v>2</v>
      </c>
      <c r="M536" s="9" t="str">
        <f t="shared" si="2"/>
        <v>Monday</v>
      </c>
    </row>
    <row r="537" spans="1:13" x14ac:dyDescent="0.25">
      <c r="A537" s="6">
        <v>1536</v>
      </c>
      <c r="B537" s="7">
        <v>45089.418682233794</v>
      </c>
      <c r="C537" s="7">
        <v>45089.418682233794</v>
      </c>
      <c r="D537" s="8">
        <v>45089.418682233794</v>
      </c>
      <c r="E537" s="9" t="s">
        <v>195</v>
      </c>
      <c r="F537" s="9" t="s">
        <v>8</v>
      </c>
      <c r="G537" s="9" t="s">
        <v>30</v>
      </c>
      <c r="H537" s="9" t="s">
        <v>47</v>
      </c>
      <c r="I537" s="9">
        <v>5</v>
      </c>
      <c r="J537" s="9">
        <v>706</v>
      </c>
      <c r="K537" s="10">
        <v>3530</v>
      </c>
      <c r="L537" s="9">
        <f>HOUR([1]restaurant_sales_1200!$B537)</f>
        <v>10</v>
      </c>
      <c r="M537" s="9" t="str">
        <f t="shared" si="2"/>
        <v>Tuesday</v>
      </c>
    </row>
    <row r="538" spans="1:13" x14ac:dyDescent="0.25">
      <c r="A538" s="6">
        <v>1537</v>
      </c>
      <c r="B538" s="7">
        <v>45089.72226855324</v>
      </c>
      <c r="C538" s="7">
        <v>45089.72226855324</v>
      </c>
      <c r="D538" s="8">
        <v>45089.72226855324</v>
      </c>
      <c r="E538" s="9" t="s">
        <v>213</v>
      </c>
      <c r="F538" s="9" t="s">
        <v>1</v>
      </c>
      <c r="G538" s="9" t="s">
        <v>15</v>
      </c>
      <c r="H538" s="9" t="s">
        <v>31</v>
      </c>
      <c r="I538" s="9">
        <v>3</v>
      </c>
      <c r="J538" s="9">
        <v>265</v>
      </c>
      <c r="K538" s="10">
        <v>795</v>
      </c>
      <c r="L538" s="9">
        <f>HOUR([1]restaurant_sales_1200!$B538)</f>
        <v>17</v>
      </c>
      <c r="M538" s="9" t="str">
        <f t="shared" si="2"/>
        <v>Wednesday</v>
      </c>
    </row>
    <row r="539" spans="1:13" x14ac:dyDescent="0.25">
      <c r="A539" s="6">
        <v>1538</v>
      </c>
      <c r="B539" s="7">
        <v>45090.025854884261</v>
      </c>
      <c r="C539" s="7">
        <v>45090.025854884261</v>
      </c>
      <c r="D539" s="8">
        <v>45090.025854884261</v>
      </c>
      <c r="E539" s="9" t="s">
        <v>252</v>
      </c>
      <c r="F539" s="9" t="s">
        <v>5</v>
      </c>
      <c r="G539" s="9" t="s">
        <v>6</v>
      </c>
      <c r="H539" s="9" t="s">
        <v>47</v>
      </c>
      <c r="I539" s="9">
        <v>3</v>
      </c>
      <c r="J539" s="9">
        <v>643</v>
      </c>
      <c r="K539" s="10">
        <v>1929</v>
      </c>
      <c r="L539" s="9">
        <f>HOUR([1]restaurant_sales_1200!$B539)</f>
        <v>0</v>
      </c>
      <c r="M539" s="9" t="str">
        <f t="shared" si="2"/>
        <v>Thursday</v>
      </c>
    </row>
    <row r="540" spans="1:13" x14ac:dyDescent="0.25">
      <c r="A540" s="6">
        <v>1539</v>
      </c>
      <c r="B540" s="7">
        <v>45090.329441203707</v>
      </c>
      <c r="C540" s="7">
        <v>45090.329441203707</v>
      </c>
      <c r="D540" s="8">
        <v>45090.329441203707</v>
      </c>
      <c r="E540" s="9" t="s">
        <v>270</v>
      </c>
      <c r="F540" s="9" t="s">
        <v>19</v>
      </c>
      <c r="G540" s="9" t="s">
        <v>15</v>
      </c>
      <c r="H540" s="9" t="s">
        <v>47</v>
      </c>
      <c r="I540" s="9">
        <v>2</v>
      </c>
      <c r="J540" s="9">
        <v>110</v>
      </c>
      <c r="K540" s="10">
        <v>220</v>
      </c>
      <c r="L540" s="9">
        <f>HOUR([1]restaurant_sales_1200!$B540)</f>
        <v>7</v>
      </c>
      <c r="M540" s="9" t="str">
        <f t="shared" si="2"/>
        <v>Friday</v>
      </c>
    </row>
    <row r="541" spans="1:13" x14ac:dyDescent="0.25">
      <c r="A541" s="6">
        <v>1540</v>
      </c>
      <c r="B541" s="7">
        <v>45090.633027523145</v>
      </c>
      <c r="C541" s="7">
        <v>45090.633027523145</v>
      </c>
      <c r="D541" s="8">
        <v>45090.633027523145</v>
      </c>
      <c r="E541" s="9" t="s">
        <v>128</v>
      </c>
      <c r="F541" s="9" t="s">
        <v>1</v>
      </c>
      <c r="G541" s="9" t="s">
        <v>6</v>
      </c>
      <c r="H541" s="9" t="s">
        <v>24</v>
      </c>
      <c r="I541" s="9">
        <v>4</v>
      </c>
      <c r="J541" s="9">
        <v>400</v>
      </c>
      <c r="K541" s="10">
        <v>1600</v>
      </c>
      <c r="L541" s="9">
        <f>HOUR([1]restaurant_sales_1200!$B541)</f>
        <v>15</v>
      </c>
      <c r="M541" s="9" t="str">
        <f t="shared" si="2"/>
        <v>Saturday</v>
      </c>
    </row>
    <row r="542" spans="1:13" x14ac:dyDescent="0.25">
      <c r="A542" s="6">
        <v>1541</v>
      </c>
      <c r="B542" s="7">
        <v>45090.93661384259</v>
      </c>
      <c r="C542" s="7">
        <v>45090.93661384259</v>
      </c>
      <c r="D542" s="8">
        <v>45090.93661384259</v>
      </c>
      <c r="E542" s="9" t="s">
        <v>193</v>
      </c>
      <c r="F542" s="9" t="s">
        <v>8</v>
      </c>
      <c r="G542" s="9" t="s">
        <v>15</v>
      </c>
      <c r="H542" s="9" t="s">
        <v>31</v>
      </c>
      <c r="I542" s="9">
        <v>1</v>
      </c>
      <c r="J542" s="9">
        <v>828</v>
      </c>
      <c r="K542" s="10">
        <v>828</v>
      </c>
      <c r="L542" s="9">
        <f>HOUR([1]restaurant_sales_1200!$B542)</f>
        <v>22</v>
      </c>
      <c r="M542" s="9" t="str">
        <f t="shared" si="2"/>
        <v>Sunday</v>
      </c>
    </row>
    <row r="543" spans="1:13" x14ac:dyDescent="0.25">
      <c r="A543" s="6">
        <v>1542</v>
      </c>
      <c r="B543" s="7">
        <v>45091.240200162036</v>
      </c>
      <c r="C543" s="7">
        <v>45091.240200162036</v>
      </c>
      <c r="D543" s="8">
        <v>45091.240200162036</v>
      </c>
      <c r="E543" s="9" t="s">
        <v>102</v>
      </c>
      <c r="F543" s="9" t="s">
        <v>8</v>
      </c>
      <c r="G543" s="9" t="s">
        <v>9</v>
      </c>
      <c r="H543" s="9" t="s">
        <v>10</v>
      </c>
      <c r="I543" s="9">
        <v>2</v>
      </c>
      <c r="J543" s="9">
        <v>900</v>
      </c>
      <c r="K543" s="10">
        <v>1800</v>
      </c>
      <c r="L543" s="9">
        <f>HOUR([1]restaurant_sales_1200!$B543)</f>
        <v>5</v>
      </c>
      <c r="M543" s="9" t="str">
        <f t="shared" si="2"/>
        <v>Monday</v>
      </c>
    </row>
    <row r="544" spans="1:13" x14ac:dyDescent="0.25">
      <c r="A544" s="6">
        <v>1543</v>
      </c>
      <c r="B544" s="7">
        <v>45091.543786493057</v>
      </c>
      <c r="C544" s="7">
        <v>45091.543786493057</v>
      </c>
      <c r="D544" s="8">
        <v>45091.543786493057</v>
      </c>
      <c r="E544" s="9" t="s">
        <v>271</v>
      </c>
      <c r="F544" s="9" t="s">
        <v>19</v>
      </c>
      <c r="G544" s="9" t="s">
        <v>9</v>
      </c>
      <c r="H544" s="9" t="s">
        <v>33</v>
      </c>
      <c r="I544" s="9">
        <v>2</v>
      </c>
      <c r="J544" s="9">
        <v>201</v>
      </c>
      <c r="K544" s="10">
        <v>402</v>
      </c>
      <c r="L544" s="9">
        <f>HOUR([1]restaurant_sales_1200!$B544)</f>
        <v>13</v>
      </c>
      <c r="M544" s="9" t="str">
        <f t="shared" si="2"/>
        <v>Tuesday</v>
      </c>
    </row>
    <row r="545" spans="1:13" x14ac:dyDescent="0.25">
      <c r="A545" s="6">
        <v>1544</v>
      </c>
      <c r="B545" s="7">
        <v>45091.847372812503</v>
      </c>
      <c r="C545" s="7">
        <v>45091.847372812503</v>
      </c>
      <c r="D545" s="8">
        <v>45091.847372812503</v>
      </c>
      <c r="E545" s="9" t="s">
        <v>272</v>
      </c>
      <c r="F545" s="9" t="s">
        <v>5</v>
      </c>
      <c r="G545" s="9" t="s">
        <v>15</v>
      </c>
      <c r="H545" s="9" t="s">
        <v>10</v>
      </c>
      <c r="I545" s="9">
        <v>4</v>
      </c>
      <c r="J545" s="9">
        <v>524</v>
      </c>
      <c r="K545" s="10">
        <v>2096</v>
      </c>
      <c r="L545" s="9">
        <f>HOUR([1]restaurant_sales_1200!$B545)</f>
        <v>20</v>
      </c>
      <c r="M545" s="9" t="str">
        <f t="shared" si="2"/>
        <v>Wednesday</v>
      </c>
    </row>
    <row r="546" spans="1:13" x14ac:dyDescent="0.25">
      <c r="A546" s="6">
        <v>1545</v>
      </c>
      <c r="B546" s="7">
        <v>45092.150959131941</v>
      </c>
      <c r="C546" s="7">
        <v>45092.150959131941</v>
      </c>
      <c r="D546" s="8">
        <v>45092.150959131941</v>
      </c>
      <c r="E546" s="9" t="s">
        <v>257</v>
      </c>
      <c r="F546" s="9" t="s">
        <v>5</v>
      </c>
      <c r="G546" s="9" t="s">
        <v>2</v>
      </c>
      <c r="H546" s="9" t="s">
        <v>3</v>
      </c>
      <c r="I546" s="9">
        <v>1</v>
      </c>
      <c r="J546" s="9">
        <v>491</v>
      </c>
      <c r="K546" s="10">
        <v>491</v>
      </c>
      <c r="L546" s="9">
        <f>HOUR([1]restaurant_sales_1200!$B546)</f>
        <v>3</v>
      </c>
      <c r="M546" s="9" t="str">
        <f t="shared" si="2"/>
        <v>Thursday</v>
      </c>
    </row>
    <row r="547" spans="1:13" x14ac:dyDescent="0.25">
      <c r="A547" s="6">
        <v>1546</v>
      </c>
      <c r="B547" s="7">
        <v>45092.454545451386</v>
      </c>
      <c r="C547" s="7">
        <v>45092.454545451386</v>
      </c>
      <c r="D547" s="8">
        <v>45092.454545451386</v>
      </c>
      <c r="E547" s="9" t="s">
        <v>108</v>
      </c>
      <c r="F547" s="9" t="s">
        <v>5</v>
      </c>
      <c r="G547" s="9" t="s">
        <v>15</v>
      </c>
      <c r="H547" s="9" t="s">
        <v>24</v>
      </c>
      <c r="I547" s="9">
        <v>5</v>
      </c>
      <c r="J547" s="9">
        <v>878</v>
      </c>
      <c r="K547" s="10">
        <v>4390</v>
      </c>
      <c r="L547" s="9">
        <f>HOUR([1]restaurant_sales_1200!$B547)</f>
        <v>10</v>
      </c>
      <c r="M547" s="9" t="str">
        <f t="shared" si="2"/>
        <v>Friday</v>
      </c>
    </row>
    <row r="548" spans="1:13" x14ac:dyDescent="0.25">
      <c r="A548" s="6">
        <v>1547</v>
      </c>
      <c r="B548" s="7">
        <v>45092.758131770832</v>
      </c>
      <c r="C548" s="7">
        <v>45092.758131770832</v>
      </c>
      <c r="D548" s="8">
        <v>45092.758131770832</v>
      </c>
      <c r="E548" s="9" t="s">
        <v>160</v>
      </c>
      <c r="F548" s="9" t="s">
        <v>8</v>
      </c>
      <c r="G548" s="9" t="s">
        <v>30</v>
      </c>
      <c r="H548" s="9" t="s">
        <v>3</v>
      </c>
      <c r="I548" s="9">
        <v>5</v>
      </c>
      <c r="J548" s="9">
        <v>313</v>
      </c>
      <c r="K548" s="10">
        <v>1565</v>
      </c>
      <c r="L548" s="9">
        <f>HOUR([1]restaurant_sales_1200!$B548)</f>
        <v>18</v>
      </c>
      <c r="M548" s="9" t="str">
        <f t="shared" si="2"/>
        <v>Saturday</v>
      </c>
    </row>
    <row r="549" spans="1:13" x14ac:dyDescent="0.25">
      <c r="A549" s="6">
        <v>1548</v>
      </c>
      <c r="B549" s="7">
        <v>45093.061718101853</v>
      </c>
      <c r="C549" s="7">
        <v>45093.061718101853</v>
      </c>
      <c r="D549" s="8">
        <v>45093.061718101853</v>
      </c>
      <c r="E549" s="9" t="s">
        <v>109</v>
      </c>
      <c r="F549" s="9" t="s">
        <v>1</v>
      </c>
      <c r="G549" s="9" t="s">
        <v>9</v>
      </c>
      <c r="H549" s="9" t="s">
        <v>47</v>
      </c>
      <c r="I549" s="9">
        <v>2</v>
      </c>
      <c r="J549" s="9">
        <v>790</v>
      </c>
      <c r="K549" s="10">
        <v>1580</v>
      </c>
      <c r="L549" s="9">
        <f>HOUR([1]restaurant_sales_1200!$B549)</f>
        <v>1</v>
      </c>
      <c r="M549" s="9" t="str">
        <f t="shared" si="2"/>
        <v>Sunday</v>
      </c>
    </row>
    <row r="550" spans="1:13" x14ac:dyDescent="0.25">
      <c r="A550" s="6">
        <v>1549</v>
      </c>
      <c r="B550" s="7">
        <v>45093.365304421299</v>
      </c>
      <c r="C550" s="7">
        <v>45093.365304421299</v>
      </c>
      <c r="D550" s="8">
        <v>45093.365304421299</v>
      </c>
      <c r="E550" s="9" t="s">
        <v>254</v>
      </c>
      <c r="F550" s="9" t="s">
        <v>1</v>
      </c>
      <c r="G550" s="9" t="s">
        <v>15</v>
      </c>
      <c r="H550" s="9" t="s">
        <v>47</v>
      </c>
      <c r="I550" s="9">
        <v>1</v>
      </c>
      <c r="J550" s="9">
        <v>187</v>
      </c>
      <c r="K550" s="10">
        <v>187</v>
      </c>
      <c r="L550" s="9">
        <f>HOUR([1]restaurant_sales_1200!$B550)</f>
        <v>8</v>
      </c>
      <c r="M550" s="9" t="str">
        <f t="shared" si="2"/>
        <v>Monday</v>
      </c>
    </row>
    <row r="551" spans="1:13" x14ac:dyDescent="0.25">
      <c r="A551" s="6">
        <v>1550</v>
      </c>
      <c r="B551" s="7">
        <v>45093.668890740744</v>
      </c>
      <c r="C551" s="7">
        <v>45093.668890740744</v>
      </c>
      <c r="D551" s="8">
        <v>45093.668890740744</v>
      </c>
      <c r="E551" s="9" t="s">
        <v>165</v>
      </c>
      <c r="F551" s="9" t="s">
        <v>5</v>
      </c>
      <c r="G551" s="9" t="s">
        <v>30</v>
      </c>
      <c r="H551" s="9" t="s">
        <v>26</v>
      </c>
      <c r="I551" s="9">
        <v>2</v>
      </c>
      <c r="J551" s="9">
        <v>652</v>
      </c>
      <c r="K551" s="10">
        <v>1304</v>
      </c>
      <c r="L551" s="9">
        <f>HOUR([1]restaurant_sales_1200!$B551)</f>
        <v>16</v>
      </c>
      <c r="M551" s="9" t="str">
        <f t="shared" si="2"/>
        <v>Tuesday</v>
      </c>
    </row>
    <row r="552" spans="1:13" x14ac:dyDescent="0.25">
      <c r="A552" s="6">
        <v>1551</v>
      </c>
      <c r="B552" s="7">
        <v>45093.972477060182</v>
      </c>
      <c r="C552" s="7">
        <v>45093.972477060182</v>
      </c>
      <c r="D552" s="8">
        <v>45093.972477060182</v>
      </c>
      <c r="E552" s="9" t="s">
        <v>157</v>
      </c>
      <c r="F552" s="9" t="s">
        <v>19</v>
      </c>
      <c r="G552" s="9" t="s">
        <v>9</v>
      </c>
      <c r="H552" s="9" t="s">
        <v>3</v>
      </c>
      <c r="I552" s="9">
        <v>3</v>
      </c>
      <c r="J552" s="9">
        <v>500</v>
      </c>
      <c r="K552" s="10">
        <v>1500</v>
      </c>
      <c r="L552" s="9">
        <f>HOUR([1]restaurant_sales_1200!$B552)</f>
        <v>23</v>
      </c>
      <c r="M552" s="9" t="str">
        <f t="shared" si="2"/>
        <v>Wednesday</v>
      </c>
    </row>
    <row r="553" spans="1:13" x14ac:dyDescent="0.25">
      <c r="A553" s="6">
        <v>1552</v>
      </c>
      <c r="B553" s="7">
        <v>45094.276063391204</v>
      </c>
      <c r="C553" s="7">
        <v>45094.276063391204</v>
      </c>
      <c r="D553" s="8">
        <v>45094.276063391204</v>
      </c>
      <c r="E553" s="9" t="s">
        <v>189</v>
      </c>
      <c r="F553" s="9" t="s">
        <v>5</v>
      </c>
      <c r="G553" s="9" t="s">
        <v>2</v>
      </c>
      <c r="H553" s="9" t="s">
        <v>33</v>
      </c>
      <c r="I553" s="9">
        <v>2</v>
      </c>
      <c r="J553" s="9">
        <v>687</v>
      </c>
      <c r="K553" s="10">
        <v>1374</v>
      </c>
      <c r="L553" s="9">
        <f>HOUR([1]restaurant_sales_1200!$B553)</f>
        <v>6</v>
      </c>
      <c r="M553" s="9" t="str">
        <f t="shared" si="2"/>
        <v>Thursday</v>
      </c>
    </row>
    <row r="554" spans="1:13" x14ac:dyDescent="0.25">
      <c r="A554" s="6">
        <v>1553</v>
      </c>
      <c r="B554" s="7">
        <v>45094.579649710649</v>
      </c>
      <c r="C554" s="7">
        <v>45094.579649710649</v>
      </c>
      <c r="D554" s="8">
        <v>45094.579649710649</v>
      </c>
      <c r="E554" s="9" t="s">
        <v>250</v>
      </c>
      <c r="F554" s="9" t="s">
        <v>5</v>
      </c>
      <c r="G554" s="9" t="s">
        <v>2</v>
      </c>
      <c r="H554" s="9" t="s">
        <v>13</v>
      </c>
      <c r="I554" s="9">
        <v>2</v>
      </c>
      <c r="J554" s="9">
        <v>988</v>
      </c>
      <c r="K554" s="10">
        <v>1976</v>
      </c>
      <c r="L554" s="9">
        <f>HOUR([1]restaurant_sales_1200!$B554)</f>
        <v>13</v>
      </c>
      <c r="M554" s="9" t="str">
        <f t="shared" si="2"/>
        <v>Friday</v>
      </c>
    </row>
    <row r="555" spans="1:13" x14ac:dyDescent="0.25">
      <c r="A555" s="6">
        <v>1554</v>
      </c>
      <c r="B555" s="7">
        <v>45094.883236030095</v>
      </c>
      <c r="C555" s="7">
        <v>45094.883236030095</v>
      </c>
      <c r="D555" s="8">
        <v>45094.883236030095</v>
      </c>
      <c r="E555" s="9" t="s">
        <v>254</v>
      </c>
      <c r="F555" s="9" t="s">
        <v>19</v>
      </c>
      <c r="G555" s="9" t="s">
        <v>30</v>
      </c>
      <c r="H555" s="9" t="s">
        <v>16</v>
      </c>
      <c r="I555" s="9">
        <v>5</v>
      </c>
      <c r="J555" s="9">
        <v>145</v>
      </c>
      <c r="K555" s="10">
        <v>725</v>
      </c>
      <c r="L555" s="9">
        <f>HOUR([1]restaurant_sales_1200!$B555)</f>
        <v>21</v>
      </c>
      <c r="M555" s="9" t="str">
        <f t="shared" si="2"/>
        <v>Saturday</v>
      </c>
    </row>
    <row r="556" spans="1:13" x14ac:dyDescent="0.25">
      <c r="A556" s="6">
        <v>1555</v>
      </c>
      <c r="B556" s="7">
        <v>45095.18682234954</v>
      </c>
      <c r="C556" s="7">
        <v>45095.18682234954</v>
      </c>
      <c r="D556" s="8">
        <v>45095.18682234954</v>
      </c>
      <c r="E556" s="9" t="s">
        <v>172</v>
      </c>
      <c r="F556" s="9" t="s">
        <v>5</v>
      </c>
      <c r="G556" s="9" t="s">
        <v>15</v>
      </c>
      <c r="H556" s="9" t="s">
        <v>47</v>
      </c>
      <c r="I556" s="9">
        <v>5</v>
      </c>
      <c r="J556" s="9">
        <v>771</v>
      </c>
      <c r="K556" s="10">
        <v>3855</v>
      </c>
      <c r="L556" s="9">
        <f>HOUR([1]restaurant_sales_1200!$B556)</f>
        <v>4</v>
      </c>
      <c r="M556" s="9" t="str">
        <f t="shared" si="2"/>
        <v>Sunday</v>
      </c>
    </row>
    <row r="557" spans="1:13" x14ac:dyDescent="0.25">
      <c r="A557" s="6">
        <v>1556</v>
      </c>
      <c r="B557" s="7">
        <v>45095.490408668978</v>
      </c>
      <c r="C557" s="7">
        <v>45095.490408668978</v>
      </c>
      <c r="D557" s="8">
        <v>45095.490408668978</v>
      </c>
      <c r="E557" s="9" t="s">
        <v>273</v>
      </c>
      <c r="F557" s="9" t="s">
        <v>19</v>
      </c>
      <c r="G557" s="9" t="s">
        <v>9</v>
      </c>
      <c r="H557" s="9" t="s">
        <v>33</v>
      </c>
      <c r="I557" s="9">
        <v>5</v>
      </c>
      <c r="J557" s="9">
        <v>562</v>
      </c>
      <c r="K557" s="10">
        <v>2810</v>
      </c>
      <c r="L557" s="9">
        <f>HOUR([1]restaurant_sales_1200!$B557)</f>
        <v>11</v>
      </c>
      <c r="M557" s="9" t="str">
        <f t="shared" si="2"/>
        <v>Monday</v>
      </c>
    </row>
    <row r="558" spans="1:13" x14ac:dyDescent="0.25">
      <c r="A558" s="6">
        <v>1557</v>
      </c>
      <c r="B558" s="7">
        <v>45095.793995</v>
      </c>
      <c r="C558" s="7">
        <v>45095.793995</v>
      </c>
      <c r="D558" s="8">
        <v>45095.793995</v>
      </c>
      <c r="E558" s="9" t="s">
        <v>244</v>
      </c>
      <c r="F558" s="9" t="s">
        <v>19</v>
      </c>
      <c r="G558" s="9" t="s">
        <v>2</v>
      </c>
      <c r="H558" s="9" t="s">
        <v>47</v>
      </c>
      <c r="I558" s="9">
        <v>3</v>
      </c>
      <c r="J558" s="9">
        <v>691</v>
      </c>
      <c r="K558" s="10">
        <v>2073</v>
      </c>
      <c r="L558" s="9">
        <f>HOUR([1]restaurant_sales_1200!$B558)</f>
        <v>19</v>
      </c>
      <c r="M558" s="9" t="str">
        <f t="shared" si="2"/>
        <v>Tuesday</v>
      </c>
    </row>
    <row r="559" spans="1:13" x14ac:dyDescent="0.25">
      <c r="A559" s="6">
        <v>1558</v>
      </c>
      <c r="B559" s="7">
        <v>45096.097581319445</v>
      </c>
      <c r="C559" s="7">
        <v>45096.097581319445</v>
      </c>
      <c r="D559" s="8">
        <v>45096.097581319445</v>
      </c>
      <c r="E559" s="9" t="s">
        <v>183</v>
      </c>
      <c r="F559" s="9" t="s">
        <v>1</v>
      </c>
      <c r="G559" s="9" t="s">
        <v>30</v>
      </c>
      <c r="H559" s="9" t="s">
        <v>13</v>
      </c>
      <c r="I559" s="9">
        <v>5</v>
      </c>
      <c r="J559" s="9">
        <v>409</v>
      </c>
      <c r="K559" s="10">
        <v>2045</v>
      </c>
      <c r="L559" s="9">
        <f>HOUR([1]restaurant_sales_1200!$B559)</f>
        <v>2</v>
      </c>
      <c r="M559" s="9" t="str">
        <f t="shared" si="2"/>
        <v>Wednesday</v>
      </c>
    </row>
    <row r="560" spans="1:13" x14ac:dyDescent="0.25">
      <c r="A560" s="6">
        <v>1559</v>
      </c>
      <c r="B560" s="7">
        <v>45096.401167638891</v>
      </c>
      <c r="C560" s="7">
        <v>45096.401167638891</v>
      </c>
      <c r="D560" s="8">
        <v>45096.401167638891</v>
      </c>
      <c r="E560" s="9" t="s">
        <v>98</v>
      </c>
      <c r="F560" s="9" t="s">
        <v>19</v>
      </c>
      <c r="G560" s="9" t="s">
        <v>6</v>
      </c>
      <c r="H560" s="9" t="s">
        <v>26</v>
      </c>
      <c r="I560" s="9">
        <v>1</v>
      </c>
      <c r="J560" s="9">
        <v>185</v>
      </c>
      <c r="K560" s="10">
        <v>185</v>
      </c>
      <c r="L560" s="9">
        <f>HOUR([1]restaurant_sales_1200!$B560)</f>
        <v>9</v>
      </c>
      <c r="M560" s="9" t="str">
        <f t="shared" si="2"/>
        <v>Thursday</v>
      </c>
    </row>
    <row r="561" spans="1:13" x14ac:dyDescent="0.25">
      <c r="A561" s="6">
        <v>1560</v>
      </c>
      <c r="B561" s="7">
        <v>45096.704753958336</v>
      </c>
      <c r="C561" s="7">
        <v>45096.704753958336</v>
      </c>
      <c r="D561" s="8">
        <v>45096.704753958336</v>
      </c>
      <c r="E561" s="9" t="s">
        <v>154</v>
      </c>
      <c r="F561" s="9" t="s">
        <v>5</v>
      </c>
      <c r="G561" s="9" t="s">
        <v>15</v>
      </c>
      <c r="H561" s="9" t="s">
        <v>33</v>
      </c>
      <c r="I561" s="9">
        <v>4</v>
      </c>
      <c r="J561" s="9">
        <v>191</v>
      </c>
      <c r="K561" s="10">
        <v>764</v>
      </c>
      <c r="L561" s="9">
        <f>HOUR([1]restaurant_sales_1200!$B561)</f>
        <v>16</v>
      </c>
      <c r="M561" s="9" t="str">
        <f t="shared" si="2"/>
        <v>Friday</v>
      </c>
    </row>
    <row r="562" spans="1:13" x14ac:dyDescent="0.25">
      <c r="A562" s="6">
        <v>1561</v>
      </c>
      <c r="B562" s="7">
        <v>45097.008340289351</v>
      </c>
      <c r="C562" s="7">
        <v>45097.008340289351</v>
      </c>
      <c r="D562" s="8">
        <v>45097.008340289351</v>
      </c>
      <c r="E562" s="9" t="s">
        <v>255</v>
      </c>
      <c r="F562" s="9" t="s">
        <v>19</v>
      </c>
      <c r="G562" s="9" t="s">
        <v>6</v>
      </c>
      <c r="H562" s="9" t="s">
        <v>26</v>
      </c>
      <c r="I562" s="9">
        <v>1</v>
      </c>
      <c r="J562" s="9">
        <v>759</v>
      </c>
      <c r="K562" s="10">
        <v>759</v>
      </c>
      <c r="L562" s="9">
        <f>HOUR([1]restaurant_sales_1200!$B562)</f>
        <v>0</v>
      </c>
      <c r="M562" s="9" t="str">
        <f t="shared" si="2"/>
        <v>Saturday</v>
      </c>
    </row>
    <row r="563" spans="1:13" x14ac:dyDescent="0.25">
      <c r="A563" s="6">
        <v>1562</v>
      </c>
      <c r="B563" s="7">
        <v>45097.311926608796</v>
      </c>
      <c r="C563" s="7">
        <v>45097.311926608796</v>
      </c>
      <c r="D563" s="8">
        <v>45097.311926608796</v>
      </c>
      <c r="E563" s="9" t="s">
        <v>48</v>
      </c>
      <c r="F563" s="9" t="s">
        <v>5</v>
      </c>
      <c r="G563" s="9" t="s">
        <v>15</v>
      </c>
      <c r="H563" s="9" t="s">
        <v>3</v>
      </c>
      <c r="I563" s="9">
        <v>1</v>
      </c>
      <c r="J563" s="9">
        <v>772</v>
      </c>
      <c r="K563" s="10">
        <v>772</v>
      </c>
      <c r="L563" s="9">
        <f>HOUR([1]restaurant_sales_1200!$B563)</f>
        <v>7</v>
      </c>
      <c r="M563" s="9" t="str">
        <f t="shared" si="2"/>
        <v>Sunday</v>
      </c>
    </row>
    <row r="564" spans="1:13" x14ac:dyDescent="0.25">
      <c r="A564" s="6">
        <v>1563</v>
      </c>
      <c r="B564" s="7">
        <v>45097.615512928242</v>
      </c>
      <c r="C564" s="7">
        <v>45097.615512928242</v>
      </c>
      <c r="D564" s="8">
        <v>45097.615512928242</v>
      </c>
      <c r="E564" s="9" t="s">
        <v>191</v>
      </c>
      <c r="F564" s="9" t="s">
        <v>19</v>
      </c>
      <c r="G564" s="9" t="s">
        <v>9</v>
      </c>
      <c r="H564" s="9" t="s">
        <v>16</v>
      </c>
      <c r="I564" s="9">
        <v>5</v>
      </c>
      <c r="J564" s="9">
        <v>813</v>
      </c>
      <c r="K564" s="10">
        <v>4065</v>
      </c>
      <c r="L564" s="9">
        <f>HOUR([1]restaurant_sales_1200!$B564)</f>
        <v>14</v>
      </c>
      <c r="M564" s="9" t="str">
        <f t="shared" si="2"/>
        <v>Monday</v>
      </c>
    </row>
    <row r="565" spans="1:13" x14ac:dyDescent="0.25">
      <c r="A565" s="6">
        <v>1564</v>
      </c>
      <c r="B565" s="7">
        <v>45097.919099247687</v>
      </c>
      <c r="C565" s="7">
        <v>45097.919099247687</v>
      </c>
      <c r="D565" s="8">
        <v>45097.919099247687</v>
      </c>
      <c r="E565" s="9" t="s">
        <v>41</v>
      </c>
      <c r="F565" s="9" t="s">
        <v>1</v>
      </c>
      <c r="G565" s="9" t="s">
        <v>30</v>
      </c>
      <c r="H565" s="9" t="s">
        <v>26</v>
      </c>
      <c r="I565" s="9">
        <v>4</v>
      </c>
      <c r="J565" s="9">
        <v>341</v>
      </c>
      <c r="K565" s="10">
        <v>1364</v>
      </c>
      <c r="L565" s="9">
        <f>HOUR([1]restaurant_sales_1200!$B565)</f>
        <v>22</v>
      </c>
      <c r="M565" s="9" t="str">
        <f t="shared" si="2"/>
        <v>Tuesday</v>
      </c>
    </row>
    <row r="566" spans="1:13" x14ac:dyDescent="0.25">
      <c r="A566" s="6">
        <v>1565</v>
      </c>
      <c r="B566" s="7">
        <v>45098.222685567132</v>
      </c>
      <c r="C566" s="7">
        <v>45098.222685567132</v>
      </c>
      <c r="D566" s="8">
        <v>45098.222685567132</v>
      </c>
      <c r="E566" s="9" t="s">
        <v>274</v>
      </c>
      <c r="F566" s="9" t="s">
        <v>5</v>
      </c>
      <c r="G566" s="9" t="s">
        <v>9</v>
      </c>
      <c r="H566" s="9" t="s">
        <v>24</v>
      </c>
      <c r="I566" s="9">
        <v>4</v>
      </c>
      <c r="J566" s="9">
        <v>964</v>
      </c>
      <c r="K566" s="10">
        <v>3856</v>
      </c>
      <c r="L566" s="9">
        <f>HOUR([1]restaurant_sales_1200!$B566)</f>
        <v>5</v>
      </c>
      <c r="M566" s="9" t="str">
        <f t="shared" si="2"/>
        <v>Wednesday</v>
      </c>
    </row>
    <row r="567" spans="1:13" x14ac:dyDescent="0.25">
      <c r="A567" s="6">
        <v>1566</v>
      </c>
      <c r="B567" s="7">
        <v>45098.526271898147</v>
      </c>
      <c r="C567" s="7">
        <v>45098.526271898147</v>
      </c>
      <c r="D567" s="8">
        <v>45098.526271898147</v>
      </c>
      <c r="E567" s="9" t="s">
        <v>125</v>
      </c>
      <c r="F567" s="9" t="s">
        <v>5</v>
      </c>
      <c r="G567" s="9" t="s">
        <v>6</v>
      </c>
      <c r="H567" s="9" t="s">
        <v>13</v>
      </c>
      <c r="I567" s="9">
        <v>4</v>
      </c>
      <c r="J567" s="9">
        <v>101</v>
      </c>
      <c r="K567" s="10">
        <v>404</v>
      </c>
      <c r="L567" s="9">
        <f>HOUR([1]restaurant_sales_1200!$B567)</f>
        <v>12</v>
      </c>
      <c r="M567" s="9" t="str">
        <f t="shared" si="2"/>
        <v>Thursday</v>
      </c>
    </row>
    <row r="568" spans="1:13" x14ac:dyDescent="0.25">
      <c r="A568" s="6">
        <v>1567</v>
      </c>
      <c r="B568" s="7">
        <v>45098.829858217592</v>
      </c>
      <c r="C568" s="7">
        <v>45098.829858217592</v>
      </c>
      <c r="D568" s="8">
        <v>45098.829858217592</v>
      </c>
      <c r="E568" s="9" t="s">
        <v>183</v>
      </c>
      <c r="F568" s="9" t="s">
        <v>5</v>
      </c>
      <c r="G568" s="9" t="s">
        <v>30</v>
      </c>
      <c r="H568" s="9" t="s">
        <v>31</v>
      </c>
      <c r="I568" s="9">
        <v>3</v>
      </c>
      <c r="J568" s="9">
        <v>324</v>
      </c>
      <c r="K568" s="10">
        <v>972</v>
      </c>
      <c r="L568" s="9">
        <f>HOUR([1]restaurant_sales_1200!$B568)</f>
        <v>19</v>
      </c>
      <c r="M568" s="9" t="str">
        <f t="shared" si="2"/>
        <v>Friday</v>
      </c>
    </row>
    <row r="569" spans="1:13" x14ac:dyDescent="0.25">
      <c r="A569" s="6">
        <v>1568</v>
      </c>
      <c r="B569" s="7">
        <v>45099.133444537038</v>
      </c>
      <c r="C569" s="7">
        <v>45099.133444537038</v>
      </c>
      <c r="D569" s="8">
        <v>45099.133444537038</v>
      </c>
      <c r="E569" s="9" t="s">
        <v>37</v>
      </c>
      <c r="F569" s="9" t="s">
        <v>19</v>
      </c>
      <c r="G569" s="9" t="s">
        <v>9</v>
      </c>
      <c r="H569" s="9" t="s">
        <v>13</v>
      </c>
      <c r="I569" s="9">
        <v>5</v>
      </c>
      <c r="J569" s="9">
        <v>900</v>
      </c>
      <c r="K569" s="10">
        <v>4500</v>
      </c>
      <c r="L569" s="9">
        <f>HOUR([1]restaurant_sales_1200!$B569)</f>
        <v>3</v>
      </c>
      <c r="M569" s="9" t="str">
        <f t="shared" si="2"/>
        <v>Saturday</v>
      </c>
    </row>
    <row r="570" spans="1:13" x14ac:dyDescent="0.25">
      <c r="A570" s="6">
        <v>1569</v>
      </c>
      <c r="B570" s="7">
        <v>45099.437030856483</v>
      </c>
      <c r="C570" s="7">
        <v>45099.437030856483</v>
      </c>
      <c r="D570" s="8">
        <v>45099.437030856483</v>
      </c>
      <c r="E570" s="9" t="s">
        <v>96</v>
      </c>
      <c r="F570" s="9" t="s">
        <v>1</v>
      </c>
      <c r="G570" s="9" t="s">
        <v>9</v>
      </c>
      <c r="H570" s="9" t="s">
        <v>24</v>
      </c>
      <c r="I570" s="9">
        <v>4</v>
      </c>
      <c r="J570" s="9">
        <v>844</v>
      </c>
      <c r="K570" s="10">
        <v>3376</v>
      </c>
      <c r="L570" s="9">
        <f>HOUR([1]restaurant_sales_1200!$B570)</f>
        <v>10</v>
      </c>
      <c r="M570" s="9" t="str">
        <f t="shared" si="2"/>
        <v>Sunday</v>
      </c>
    </row>
    <row r="571" spans="1:13" x14ac:dyDescent="0.25">
      <c r="A571" s="6">
        <v>1570</v>
      </c>
      <c r="B571" s="7">
        <v>45099.740617175928</v>
      </c>
      <c r="C571" s="7">
        <v>45099.740617175928</v>
      </c>
      <c r="D571" s="8">
        <v>45099.740617175928</v>
      </c>
      <c r="E571" s="9" t="s">
        <v>18</v>
      </c>
      <c r="F571" s="9" t="s">
        <v>1</v>
      </c>
      <c r="G571" s="9" t="s">
        <v>9</v>
      </c>
      <c r="H571" s="9" t="s">
        <v>20</v>
      </c>
      <c r="I571" s="9">
        <v>3</v>
      </c>
      <c r="J571" s="9">
        <v>688</v>
      </c>
      <c r="K571" s="10">
        <v>2064</v>
      </c>
      <c r="L571" s="9">
        <f>HOUR([1]restaurant_sales_1200!$B571)</f>
        <v>17</v>
      </c>
      <c r="M571" s="9" t="str">
        <f t="shared" si="2"/>
        <v>Monday</v>
      </c>
    </row>
    <row r="572" spans="1:13" x14ac:dyDescent="0.25">
      <c r="A572" s="6">
        <v>1571</v>
      </c>
      <c r="B572" s="7">
        <v>45100.044203506943</v>
      </c>
      <c r="C572" s="7">
        <v>45100.044203506943</v>
      </c>
      <c r="D572" s="8">
        <v>45100.044203506943</v>
      </c>
      <c r="E572" s="9" t="s">
        <v>38</v>
      </c>
      <c r="F572" s="9" t="s">
        <v>1</v>
      </c>
      <c r="G572" s="9" t="s">
        <v>6</v>
      </c>
      <c r="H572" s="9" t="s">
        <v>47</v>
      </c>
      <c r="I572" s="9">
        <v>2</v>
      </c>
      <c r="J572" s="9">
        <v>215</v>
      </c>
      <c r="K572" s="10">
        <v>430</v>
      </c>
      <c r="L572" s="9">
        <f>HOUR([1]restaurant_sales_1200!$B572)</f>
        <v>1</v>
      </c>
      <c r="M572" s="9" t="str">
        <f t="shared" si="2"/>
        <v>Tuesday</v>
      </c>
    </row>
    <row r="573" spans="1:13" x14ac:dyDescent="0.25">
      <c r="A573" s="6">
        <v>1572</v>
      </c>
      <c r="B573" s="7">
        <v>45100.347789826388</v>
      </c>
      <c r="C573" s="7">
        <v>45100.347789826388</v>
      </c>
      <c r="D573" s="8">
        <v>45100.347789826388</v>
      </c>
      <c r="E573" s="9" t="s">
        <v>186</v>
      </c>
      <c r="F573" s="9" t="s">
        <v>1</v>
      </c>
      <c r="G573" s="9" t="s">
        <v>9</v>
      </c>
      <c r="H573" s="9" t="s">
        <v>24</v>
      </c>
      <c r="I573" s="9">
        <v>2</v>
      </c>
      <c r="J573" s="9">
        <v>765</v>
      </c>
      <c r="K573" s="10">
        <v>1530</v>
      </c>
      <c r="L573" s="9">
        <f>HOUR([1]restaurant_sales_1200!$B573)</f>
        <v>8</v>
      </c>
      <c r="M573" s="9" t="str">
        <f t="shared" si="2"/>
        <v>Wednesday</v>
      </c>
    </row>
    <row r="574" spans="1:13" x14ac:dyDescent="0.25">
      <c r="A574" s="6">
        <v>1573</v>
      </c>
      <c r="B574" s="7">
        <v>45100.651376145834</v>
      </c>
      <c r="C574" s="7">
        <v>45100.651376145834</v>
      </c>
      <c r="D574" s="8">
        <v>45100.651376145834</v>
      </c>
      <c r="E574" s="9" t="s">
        <v>38</v>
      </c>
      <c r="F574" s="9" t="s">
        <v>19</v>
      </c>
      <c r="G574" s="9" t="s">
        <v>2</v>
      </c>
      <c r="H574" s="9" t="s">
        <v>31</v>
      </c>
      <c r="I574" s="9">
        <v>3</v>
      </c>
      <c r="J574" s="9">
        <v>202</v>
      </c>
      <c r="K574" s="10">
        <v>606</v>
      </c>
      <c r="L574" s="9">
        <f>HOUR([1]restaurant_sales_1200!$B574)</f>
        <v>15</v>
      </c>
      <c r="M574" s="9" t="str">
        <f t="shared" si="2"/>
        <v>Thursday</v>
      </c>
    </row>
    <row r="575" spans="1:13" x14ac:dyDescent="0.25">
      <c r="A575" s="6">
        <v>1574</v>
      </c>
      <c r="B575" s="7">
        <v>45100.954962465279</v>
      </c>
      <c r="C575" s="7">
        <v>45100.954962465279</v>
      </c>
      <c r="D575" s="8">
        <v>45100.954962465279</v>
      </c>
      <c r="E575" s="9" t="s">
        <v>213</v>
      </c>
      <c r="F575" s="9" t="s">
        <v>5</v>
      </c>
      <c r="G575" s="9" t="s">
        <v>15</v>
      </c>
      <c r="H575" s="9" t="s">
        <v>24</v>
      </c>
      <c r="I575" s="9">
        <v>3</v>
      </c>
      <c r="J575" s="9">
        <v>293</v>
      </c>
      <c r="K575" s="10">
        <v>879</v>
      </c>
      <c r="L575" s="9">
        <f>HOUR([1]restaurant_sales_1200!$B575)</f>
        <v>22</v>
      </c>
      <c r="M575" s="9" t="str">
        <f t="shared" si="2"/>
        <v>Friday</v>
      </c>
    </row>
    <row r="576" spans="1:13" x14ac:dyDescent="0.25">
      <c r="A576" s="6">
        <v>1575</v>
      </c>
      <c r="B576" s="7">
        <v>45101.258548796293</v>
      </c>
      <c r="C576" s="7">
        <v>45101.258548796293</v>
      </c>
      <c r="D576" s="8">
        <v>45101.258548796293</v>
      </c>
      <c r="E576" s="9" t="s">
        <v>236</v>
      </c>
      <c r="F576" s="9" t="s">
        <v>8</v>
      </c>
      <c r="G576" s="9" t="s">
        <v>2</v>
      </c>
      <c r="H576" s="9" t="s">
        <v>47</v>
      </c>
      <c r="I576" s="9">
        <v>5</v>
      </c>
      <c r="J576" s="9">
        <v>265</v>
      </c>
      <c r="K576" s="10">
        <v>1325</v>
      </c>
      <c r="L576" s="9">
        <f>HOUR([1]restaurant_sales_1200!$B576)</f>
        <v>6</v>
      </c>
      <c r="M576" s="9" t="str">
        <f t="shared" si="2"/>
        <v>Saturday</v>
      </c>
    </row>
    <row r="577" spans="1:13" x14ac:dyDescent="0.25">
      <c r="A577" s="6">
        <v>1576</v>
      </c>
      <c r="B577" s="7">
        <v>45101.562135115739</v>
      </c>
      <c r="C577" s="7">
        <v>45101.562135115739</v>
      </c>
      <c r="D577" s="8">
        <v>45101.562135115739</v>
      </c>
      <c r="E577" s="9" t="s">
        <v>139</v>
      </c>
      <c r="F577" s="9" t="s">
        <v>1</v>
      </c>
      <c r="G577" s="9" t="s">
        <v>6</v>
      </c>
      <c r="H577" s="9" t="s">
        <v>10</v>
      </c>
      <c r="I577" s="9">
        <v>5</v>
      </c>
      <c r="J577" s="9">
        <v>970</v>
      </c>
      <c r="K577" s="10">
        <v>4850</v>
      </c>
      <c r="L577" s="9">
        <f>HOUR([1]restaurant_sales_1200!$B577)</f>
        <v>13</v>
      </c>
      <c r="M577" s="9" t="str">
        <f t="shared" si="2"/>
        <v>Sunday</v>
      </c>
    </row>
    <row r="578" spans="1:13" x14ac:dyDescent="0.25">
      <c r="A578" s="6">
        <v>1577</v>
      </c>
      <c r="B578" s="7">
        <v>45101.865721435184</v>
      </c>
      <c r="C578" s="7">
        <v>45101.865721435184</v>
      </c>
      <c r="D578" s="8">
        <v>45101.865721435184</v>
      </c>
      <c r="E578" s="9" t="s">
        <v>234</v>
      </c>
      <c r="F578" s="9" t="s">
        <v>8</v>
      </c>
      <c r="G578" s="9" t="s">
        <v>6</v>
      </c>
      <c r="H578" s="9" t="s">
        <v>24</v>
      </c>
      <c r="I578" s="9">
        <v>2</v>
      </c>
      <c r="J578" s="9">
        <v>189</v>
      </c>
      <c r="K578" s="10">
        <v>378</v>
      </c>
      <c r="L578" s="9">
        <f>HOUR([1]restaurant_sales_1200!$B578)</f>
        <v>20</v>
      </c>
      <c r="M578" s="9" t="str">
        <f t="shared" si="2"/>
        <v>Monday</v>
      </c>
    </row>
    <row r="579" spans="1:13" x14ac:dyDescent="0.25">
      <c r="A579" s="6">
        <v>1578</v>
      </c>
      <c r="B579" s="7">
        <v>45102.16930775463</v>
      </c>
      <c r="C579" s="7">
        <v>45102.16930775463</v>
      </c>
      <c r="D579" s="8">
        <v>45102.16930775463</v>
      </c>
      <c r="E579" s="9" t="s">
        <v>183</v>
      </c>
      <c r="F579" s="9" t="s">
        <v>19</v>
      </c>
      <c r="G579" s="9" t="s">
        <v>9</v>
      </c>
      <c r="H579" s="9" t="s">
        <v>24</v>
      </c>
      <c r="I579" s="9">
        <v>4</v>
      </c>
      <c r="J579" s="9">
        <v>785</v>
      </c>
      <c r="K579" s="10">
        <v>3140</v>
      </c>
      <c r="L579" s="9">
        <f>HOUR([1]restaurant_sales_1200!$B579)</f>
        <v>4</v>
      </c>
      <c r="M579" s="9" t="str">
        <f t="shared" si="2"/>
        <v>Tuesday</v>
      </c>
    </row>
    <row r="580" spans="1:13" x14ac:dyDescent="0.25">
      <c r="A580" s="6">
        <v>1579</v>
      </c>
      <c r="B580" s="7">
        <v>45102.472894074075</v>
      </c>
      <c r="C580" s="7">
        <v>45102.472894074075</v>
      </c>
      <c r="D580" s="8">
        <v>45102.472894074075</v>
      </c>
      <c r="E580" s="9" t="s">
        <v>46</v>
      </c>
      <c r="F580" s="9" t="s">
        <v>19</v>
      </c>
      <c r="G580" s="9" t="s">
        <v>30</v>
      </c>
      <c r="H580" s="9" t="s">
        <v>10</v>
      </c>
      <c r="I580" s="9">
        <v>2</v>
      </c>
      <c r="J580" s="9">
        <v>221</v>
      </c>
      <c r="K580" s="10">
        <v>442</v>
      </c>
      <c r="L580" s="9">
        <f>HOUR([1]restaurant_sales_1200!$B580)</f>
        <v>11</v>
      </c>
      <c r="M580" s="9" t="str">
        <f t="shared" si="2"/>
        <v>Wednesday</v>
      </c>
    </row>
    <row r="581" spans="1:13" x14ac:dyDescent="0.25">
      <c r="A581" s="6">
        <v>1580</v>
      </c>
      <c r="B581" s="7">
        <v>45102.776480405089</v>
      </c>
      <c r="C581" s="7">
        <v>45102.776480405089</v>
      </c>
      <c r="D581" s="8">
        <v>45102.776480405089</v>
      </c>
      <c r="E581" s="9" t="s">
        <v>246</v>
      </c>
      <c r="F581" s="9" t="s">
        <v>8</v>
      </c>
      <c r="G581" s="9" t="s">
        <v>2</v>
      </c>
      <c r="H581" s="9" t="s">
        <v>31</v>
      </c>
      <c r="I581" s="9">
        <v>4</v>
      </c>
      <c r="J581" s="9">
        <v>242</v>
      </c>
      <c r="K581" s="10">
        <v>968</v>
      </c>
      <c r="L581" s="9">
        <f>HOUR([1]restaurant_sales_1200!$B581)</f>
        <v>18</v>
      </c>
      <c r="M581" s="9" t="str">
        <f t="shared" si="2"/>
        <v>Thursday</v>
      </c>
    </row>
    <row r="582" spans="1:13" x14ac:dyDescent="0.25">
      <c r="A582" s="6">
        <v>1581</v>
      </c>
      <c r="B582" s="7">
        <v>45103.080066724535</v>
      </c>
      <c r="C582" s="7">
        <v>45103.080066724535</v>
      </c>
      <c r="D582" s="8">
        <v>45103.080066724535</v>
      </c>
      <c r="E582" s="9" t="s">
        <v>145</v>
      </c>
      <c r="F582" s="9" t="s">
        <v>5</v>
      </c>
      <c r="G582" s="9" t="s">
        <v>6</v>
      </c>
      <c r="H582" s="9" t="s">
        <v>13</v>
      </c>
      <c r="I582" s="9">
        <v>4</v>
      </c>
      <c r="J582" s="9">
        <v>205</v>
      </c>
      <c r="K582" s="10">
        <v>820</v>
      </c>
      <c r="L582" s="9">
        <f>HOUR([1]restaurant_sales_1200!$B582)</f>
        <v>1</v>
      </c>
      <c r="M582" s="9" t="str">
        <f t="shared" si="2"/>
        <v>Friday</v>
      </c>
    </row>
    <row r="583" spans="1:13" x14ac:dyDescent="0.25">
      <c r="A583" s="6">
        <v>1582</v>
      </c>
      <c r="B583" s="7">
        <v>45103.38365304398</v>
      </c>
      <c r="C583" s="7">
        <v>45103.38365304398</v>
      </c>
      <c r="D583" s="8">
        <v>45103.38365304398</v>
      </c>
      <c r="E583" s="9" t="s">
        <v>112</v>
      </c>
      <c r="F583" s="9" t="s">
        <v>8</v>
      </c>
      <c r="G583" s="9" t="s">
        <v>15</v>
      </c>
      <c r="H583" s="9" t="s">
        <v>20</v>
      </c>
      <c r="I583" s="9">
        <v>5</v>
      </c>
      <c r="J583" s="9">
        <v>986</v>
      </c>
      <c r="K583" s="10">
        <v>4930</v>
      </c>
      <c r="L583" s="9">
        <f>HOUR([1]restaurant_sales_1200!$B583)</f>
        <v>9</v>
      </c>
      <c r="M583" s="9" t="str">
        <f t="shared" si="2"/>
        <v>Saturday</v>
      </c>
    </row>
    <row r="584" spans="1:13" x14ac:dyDescent="0.25">
      <c r="A584" s="6">
        <v>1583</v>
      </c>
      <c r="B584" s="7">
        <v>45103.687239363426</v>
      </c>
      <c r="C584" s="7">
        <v>45103.687239363426</v>
      </c>
      <c r="D584" s="8">
        <v>45103.687239363426</v>
      </c>
      <c r="E584" s="9" t="s">
        <v>142</v>
      </c>
      <c r="F584" s="9" t="s">
        <v>19</v>
      </c>
      <c r="G584" s="9" t="s">
        <v>6</v>
      </c>
      <c r="H584" s="9" t="s">
        <v>20</v>
      </c>
      <c r="I584" s="9">
        <v>1</v>
      </c>
      <c r="J584" s="9">
        <v>527</v>
      </c>
      <c r="K584" s="10">
        <v>527</v>
      </c>
      <c r="L584" s="9">
        <f>HOUR([1]restaurant_sales_1200!$B584)</f>
        <v>16</v>
      </c>
      <c r="M584" s="9" t="str">
        <f t="shared" si="2"/>
        <v>Sunday</v>
      </c>
    </row>
    <row r="585" spans="1:13" x14ac:dyDescent="0.25">
      <c r="A585" s="6">
        <v>1584</v>
      </c>
      <c r="B585" s="7">
        <v>45103.990825682871</v>
      </c>
      <c r="C585" s="7">
        <v>45103.990825682871</v>
      </c>
      <c r="D585" s="8">
        <v>45103.990825682871</v>
      </c>
      <c r="E585" s="9" t="s">
        <v>78</v>
      </c>
      <c r="F585" s="9" t="s">
        <v>8</v>
      </c>
      <c r="G585" s="9" t="s">
        <v>2</v>
      </c>
      <c r="H585" s="9" t="s">
        <v>13</v>
      </c>
      <c r="I585" s="9">
        <v>1</v>
      </c>
      <c r="J585" s="9">
        <v>404</v>
      </c>
      <c r="K585" s="10">
        <v>404</v>
      </c>
      <c r="L585" s="9">
        <f>HOUR([1]restaurant_sales_1200!$B585)</f>
        <v>23</v>
      </c>
      <c r="M585" s="9" t="str">
        <f t="shared" si="2"/>
        <v>Monday</v>
      </c>
    </row>
    <row r="586" spans="1:13" x14ac:dyDescent="0.25">
      <c r="A586" s="6">
        <v>1585</v>
      </c>
      <c r="B586" s="7">
        <v>45104.294412013885</v>
      </c>
      <c r="C586" s="7">
        <v>45104.294412013885</v>
      </c>
      <c r="D586" s="8">
        <v>45104.294412013885</v>
      </c>
      <c r="E586" s="9" t="s">
        <v>34</v>
      </c>
      <c r="F586" s="9" t="s">
        <v>1</v>
      </c>
      <c r="G586" s="9" t="s">
        <v>15</v>
      </c>
      <c r="H586" s="9" t="s">
        <v>13</v>
      </c>
      <c r="I586" s="9">
        <v>3</v>
      </c>
      <c r="J586" s="9">
        <v>971</v>
      </c>
      <c r="K586" s="10">
        <v>2913</v>
      </c>
      <c r="L586" s="9">
        <f>HOUR([1]restaurant_sales_1200!$B586)</f>
        <v>7</v>
      </c>
      <c r="M586" s="9" t="str">
        <f t="shared" si="2"/>
        <v>Tuesday</v>
      </c>
    </row>
    <row r="587" spans="1:13" x14ac:dyDescent="0.25">
      <c r="A587" s="6">
        <v>1586</v>
      </c>
      <c r="B587" s="7">
        <v>45104.597998333331</v>
      </c>
      <c r="C587" s="7">
        <v>45104.597998333331</v>
      </c>
      <c r="D587" s="8">
        <v>45104.597998333331</v>
      </c>
      <c r="E587" s="9" t="s">
        <v>275</v>
      </c>
      <c r="F587" s="9" t="s">
        <v>1</v>
      </c>
      <c r="G587" s="9" t="s">
        <v>15</v>
      </c>
      <c r="H587" s="9" t="s">
        <v>13</v>
      </c>
      <c r="I587" s="9">
        <v>5</v>
      </c>
      <c r="J587" s="9">
        <v>416</v>
      </c>
      <c r="K587" s="10">
        <v>2080</v>
      </c>
      <c r="L587" s="9">
        <f>HOUR([1]restaurant_sales_1200!$B587)</f>
        <v>14</v>
      </c>
      <c r="M587" s="9" t="str">
        <f t="shared" si="2"/>
        <v>Wednesday</v>
      </c>
    </row>
    <row r="588" spans="1:13" x14ac:dyDescent="0.25">
      <c r="A588" s="6">
        <v>1587</v>
      </c>
      <c r="B588" s="7">
        <v>45104.901584652776</v>
      </c>
      <c r="C588" s="7">
        <v>45104.901584652776</v>
      </c>
      <c r="D588" s="8">
        <v>45104.901584652776</v>
      </c>
      <c r="E588" s="9" t="s">
        <v>205</v>
      </c>
      <c r="F588" s="9" t="s">
        <v>5</v>
      </c>
      <c r="G588" s="9" t="s">
        <v>9</v>
      </c>
      <c r="H588" s="9" t="s">
        <v>3</v>
      </c>
      <c r="I588" s="9">
        <v>4</v>
      </c>
      <c r="J588" s="9">
        <v>734</v>
      </c>
      <c r="K588" s="10">
        <v>2936</v>
      </c>
      <c r="L588" s="9">
        <f>HOUR([1]restaurant_sales_1200!$B588)</f>
        <v>21</v>
      </c>
      <c r="M588" s="9" t="str">
        <f t="shared" si="2"/>
        <v>Thursday</v>
      </c>
    </row>
    <row r="589" spans="1:13" x14ac:dyDescent="0.25">
      <c r="A589" s="6">
        <v>1588</v>
      </c>
      <c r="B589" s="7">
        <v>45105.205170972222</v>
      </c>
      <c r="C589" s="7">
        <v>45105.205170972222</v>
      </c>
      <c r="D589" s="8">
        <v>45105.205170972222</v>
      </c>
      <c r="E589" s="9" t="s">
        <v>34</v>
      </c>
      <c r="F589" s="9" t="s">
        <v>8</v>
      </c>
      <c r="G589" s="9" t="s">
        <v>30</v>
      </c>
      <c r="H589" s="9" t="s">
        <v>20</v>
      </c>
      <c r="I589" s="9">
        <v>1</v>
      </c>
      <c r="J589" s="9">
        <v>108</v>
      </c>
      <c r="K589" s="10">
        <v>108</v>
      </c>
      <c r="L589" s="9">
        <f>HOUR([1]restaurant_sales_1200!$B589)</f>
        <v>4</v>
      </c>
      <c r="M589" s="9" t="str">
        <f t="shared" si="2"/>
        <v>Friday</v>
      </c>
    </row>
    <row r="590" spans="1:13" x14ac:dyDescent="0.25">
      <c r="A590" s="6">
        <v>1589</v>
      </c>
      <c r="B590" s="7">
        <v>45105.508757303243</v>
      </c>
      <c r="C590" s="7">
        <v>45105.508757303243</v>
      </c>
      <c r="D590" s="8">
        <v>45105.508757303243</v>
      </c>
      <c r="E590" s="9" t="s">
        <v>276</v>
      </c>
      <c r="F590" s="9" t="s">
        <v>8</v>
      </c>
      <c r="G590" s="9" t="s">
        <v>15</v>
      </c>
      <c r="H590" s="9" t="s">
        <v>26</v>
      </c>
      <c r="I590" s="9">
        <v>4</v>
      </c>
      <c r="J590" s="9">
        <v>873</v>
      </c>
      <c r="K590" s="10">
        <v>3492</v>
      </c>
      <c r="L590" s="9">
        <f>HOUR([1]restaurant_sales_1200!$B590)</f>
        <v>12</v>
      </c>
      <c r="M590" s="9" t="str">
        <f t="shared" si="2"/>
        <v>Saturday</v>
      </c>
    </row>
    <row r="591" spans="1:13" x14ac:dyDescent="0.25">
      <c r="A591" s="6">
        <v>1590</v>
      </c>
      <c r="B591" s="7">
        <v>45105.812343622689</v>
      </c>
      <c r="C591" s="7">
        <v>45105.812343622689</v>
      </c>
      <c r="D591" s="8">
        <v>45105.812343622689</v>
      </c>
      <c r="E591" s="9" t="s">
        <v>99</v>
      </c>
      <c r="F591" s="9" t="s">
        <v>8</v>
      </c>
      <c r="G591" s="9" t="s">
        <v>9</v>
      </c>
      <c r="H591" s="9" t="s">
        <v>24</v>
      </c>
      <c r="I591" s="9">
        <v>1</v>
      </c>
      <c r="J591" s="9">
        <v>172</v>
      </c>
      <c r="K591" s="10">
        <v>172</v>
      </c>
      <c r="L591" s="9">
        <f>HOUR([1]restaurant_sales_1200!$B591)</f>
        <v>19</v>
      </c>
      <c r="M591" s="9" t="str">
        <f t="shared" si="2"/>
        <v>Sunday</v>
      </c>
    </row>
    <row r="592" spans="1:13" x14ac:dyDescent="0.25">
      <c r="A592" s="6">
        <v>1591</v>
      </c>
      <c r="B592" s="7">
        <v>45106.115929942127</v>
      </c>
      <c r="C592" s="7">
        <v>45106.115929942127</v>
      </c>
      <c r="D592" s="8">
        <v>45106.115929942127</v>
      </c>
      <c r="E592" s="9" t="s">
        <v>277</v>
      </c>
      <c r="F592" s="9" t="s">
        <v>8</v>
      </c>
      <c r="G592" s="9" t="s">
        <v>30</v>
      </c>
      <c r="H592" s="9" t="s">
        <v>16</v>
      </c>
      <c r="I592" s="9">
        <v>1</v>
      </c>
      <c r="J592" s="9">
        <v>458</v>
      </c>
      <c r="K592" s="10">
        <v>458</v>
      </c>
      <c r="L592" s="9">
        <f>HOUR([1]restaurant_sales_1200!$B592)</f>
        <v>2</v>
      </c>
      <c r="M592" s="9" t="str">
        <f t="shared" si="2"/>
        <v>Monday</v>
      </c>
    </row>
    <row r="593" spans="1:13" x14ac:dyDescent="0.25">
      <c r="A593" s="6">
        <v>1592</v>
      </c>
      <c r="B593" s="7">
        <v>45106.419516261572</v>
      </c>
      <c r="C593" s="7">
        <v>45106.419516261572</v>
      </c>
      <c r="D593" s="8">
        <v>45106.419516261572</v>
      </c>
      <c r="E593" s="9" t="s">
        <v>79</v>
      </c>
      <c r="F593" s="9" t="s">
        <v>5</v>
      </c>
      <c r="G593" s="9" t="s">
        <v>9</v>
      </c>
      <c r="H593" s="9" t="s">
        <v>24</v>
      </c>
      <c r="I593" s="9">
        <v>1</v>
      </c>
      <c r="J593" s="9">
        <v>322</v>
      </c>
      <c r="K593" s="10">
        <v>322</v>
      </c>
      <c r="L593" s="9">
        <f>HOUR([1]restaurant_sales_1200!$B593)</f>
        <v>10</v>
      </c>
      <c r="M593" s="9" t="str">
        <f t="shared" si="2"/>
        <v>Tuesday</v>
      </c>
    </row>
    <row r="594" spans="1:13" x14ac:dyDescent="0.25">
      <c r="A594" s="6">
        <v>1593</v>
      </c>
      <c r="B594" s="7">
        <v>45106.723102581018</v>
      </c>
      <c r="C594" s="7">
        <v>45106.723102581018</v>
      </c>
      <c r="D594" s="8">
        <v>45106.723102581018</v>
      </c>
      <c r="E594" s="9" t="s">
        <v>176</v>
      </c>
      <c r="F594" s="9" t="s">
        <v>19</v>
      </c>
      <c r="G594" s="9" t="s">
        <v>6</v>
      </c>
      <c r="H594" s="9" t="s">
        <v>33</v>
      </c>
      <c r="I594" s="9">
        <v>5</v>
      </c>
      <c r="J594" s="9">
        <v>515</v>
      </c>
      <c r="K594" s="10">
        <v>2575</v>
      </c>
      <c r="L594" s="9">
        <f>HOUR([1]restaurant_sales_1200!$B594)</f>
        <v>17</v>
      </c>
      <c r="M594" s="9" t="str">
        <f t="shared" si="2"/>
        <v>Wednesday</v>
      </c>
    </row>
    <row r="595" spans="1:13" x14ac:dyDescent="0.25">
      <c r="A595" s="6">
        <v>1594</v>
      </c>
      <c r="B595" s="7">
        <v>45107.026688912039</v>
      </c>
      <c r="C595" s="7">
        <v>45107.026688912039</v>
      </c>
      <c r="D595" s="8">
        <v>45107.026688912039</v>
      </c>
      <c r="E595" s="9" t="s">
        <v>179</v>
      </c>
      <c r="F595" s="9" t="s">
        <v>5</v>
      </c>
      <c r="G595" s="9" t="s">
        <v>6</v>
      </c>
      <c r="H595" s="9" t="s">
        <v>31</v>
      </c>
      <c r="I595" s="9">
        <v>2</v>
      </c>
      <c r="J595" s="9">
        <v>652</v>
      </c>
      <c r="K595" s="10">
        <v>1304</v>
      </c>
      <c r="L595" s="9">
        <f>HOUR([1]restaurant_sales_1200!$B595)</f>
        <v>0</v>
      </c>
      <c r="M595" s="9" t="str">
        <f t="shared" si="2"/>
        <v>Thursday</v>
      </c>
    </row>
    <row r="596" spans="1:13" x14ac:dyDescent="0.25">
      <c r="A596" s="6">
        <v>1595</v>
      </c>
      <c r="B596" s="7">
        <v>45107.330275231485</v>
      </c>
      <c r="C596" s="7">
        <v>45107.330275231485</v>
      </c>
      <c r="D596" s="8">
        <v>45107.330275231485</v>
      </c>
      <c r="E596" s="9" t="s">
        <v>200</v>
      </c>
      <c r="F596" s="9" t="s">
        <v>19</v>
      </c>
      <c r="G596" s="9" t="s">
        <v>30</v>
      </c>
      <c r="H596" s="9" t="s">
        <v>13</v>
      </c>
      <c r="I596" s="9">
        <v>4</v>
      </c>
      <c r="J596" s="9">
        <v>469</v>
      </c>
      <c r="K596" s="10">
        <v>1876</v>
      </c>
      <c r="L596" s="9">
        <f>HOUR([1]restaurant_sales_1200!$B596)</f>
        <v>7</v>
      </c>
      <c r="M596" s="9" t="str">
        <f t="shared" si="2"/>
        <v>Friday</v>
      </c>
    </row>
    <row r="597" spans="1:13" x14ac:dyDescent="0.25">
      <c r="A597" s="6">
        <v>1596</v>
      </c>
      <c r="B597" s="7">
        <v>45107.633861550923</v>
      </c>
      <c r="C597" s="7">
        <v>45107.633861550923</v>
      </c>
      <c r="D597" s="8">
        <v>45107.633861550923</v>
      </c>
      <c r="E597" s="9" t="s">
        <v>48</v>
      </c>
      <c r="F597" s="9" t="s">
        <v>19</v>
      </c>
      <c r="G597" s="9" t="s">
        <v>9</v>
      </c>
      <c r="H597" s="9" t="s">
        <v>16</v>
      </c>
      <c r="I597" s="9">
        <v>5</v>
      </c>
      <c r="J597" s="9">
        <v>815</v>
      </c>
      <c r="K597" s="10">
        <v>4075</v>
      </c>
      <c r="L597" s="9">
        <f>HOUR([1]restaurant_sales_1200!$B597)</f>
        <v>15</v>
      </c>
      <c r="M597" s="9" t="str">
        <f t="shared" si="2"/>
        <v>Saturday</v>
      </c>
    </row>
    <row r="598" spans="1:13" x14ac:dyDescent="0.25">
      <c r="A598" s="6">
        <v>1597</v>
      </c>
      <c r="B598" s="7">
        <v>45107.937447870368</v>
      </c>
      <c r="C598" s="7">
        <v>45107.937447870368</v>
      </c>
      <c r="D598" s="8">
        <v>45107.937447870368</v>
      </c>
      <c r="E598" s="9" t="s">
        <v>243</v>
      </c>
      <c r="F598" s="9" t="s">
        <v>19</v>
      </c>
      <c r="G598" s="9" t="s">
        <v>2</v>
      </c>
      <c r="H598" s="9" t="s">
        <v>20</v>
      </c>
      <c r="I598" s="9">
        <v>5</v>
      </c>
      <c r="J598" s="9">
        <v>363</v>
      </c>
      <c r="K598" s="10">
        <v>1815</v>
      </c>
      <c r="L598" s="9">
        <f>HOUR([1]restaurant_sales_1200!$B598)</f>
        <v>22</v>
      </c>
      <c r="M598" s="9" t="str">
        <f t="shared" si="2"/>
        <v>Sunday</v>
      </c>
    </row>
    <row r="599" spans="1:13" x14ac:dyDescent="0.25">
      <c r="A599" s="6">
        <v>1598</v>
      </c>
      <c r="B599" s="7">
        <v>45108.241034189814</v>
      </c>
      <c r="C599" s="7">
        <v>45108.241034189814</v>
      </c>
      <c r="D599" s="8">
        <v>45108.241034189814</v>
      </c>
      <c r="E599" s="9" t="s">
        <v>89</v>
      </c>
      <c r="F599" s="9" t="s">
        <v>8</v>
      </c>
      <c r="G599" s="9" t="s">
        <v>9</v>
      </c>
      <c r="H599" s="9" t="s">
        <v>26</v>
      </c>
      <c r="I599" s="9">
        <v>5</v>
      </c>
      <c r="J599" s="9">
        <v>939</v>
      </c>
      <c r="K599" s="10">
        <v>4695</v>
      </c>
      <c r="L599" s="9">
        <f>HOUR([1]restaurant_sales_1200!$B599)</f>
        <v>5</v>
      </c>
      <c r="M599" s="9" t="str">
        <f t="shared" si="2"/>
        <v>Monday</v>
      </c>
    </row>
    <row r="600" spans="1:13" x14ac:dyDescent="0.25">
      <c r="A600" s="6">
        <v>1599</v>
      </c>
      <c r="B600" s="7">
        <v>45108.544620520835</v>
      </c>
      <c r="C600" s="7">
        <v>45108.544620520835</v>
      </c>
      <c r="D600" s="8">
        <v>45108.544620520835</v>
      </c>
      <c r="E600" s="9" t="s">
        <v>69</v>
      </c>
      <c r="F600" s="9" t="s">
        <v>5</v>
      </c>
      <c r="G600" s="9" t="s">
        <v>2</v>
      </c>
      <c r="H600" s="9" t="s">
        <v>26</v>
      </c>
      <c r="I600" s="9">
        <v>5</v>
      </c>
      <c r="J600" s="9">
        <v>789</v>
      </c>
      <c r="K600" s="10">
        <v>3945</v>
      </c>
      <c r="L600" s="9">
        <f>HOUR([1]restaurant_sales_1200!$B600)</f>
        <v>13</v>
      </c>
      <c r="M600" s="9" t="str">
        <f t="shared" si="2"/>
        <v>Tuesday</v>
      </c>
    </row>
    <row r="601" spans="1:13" x14ac:dyDescent="0.25">
      <c r="A601" s="6">
        <v>1600</v>
      </c>
      <c r="B601" s="7">
        <v>45108.848206840281</v>
      </c>
      <c r="C601" s="7">
        <v>45108.848206840281</v>
      </c>
      <c r="D601" s="8">
        <v>45108.848206840281</v>
      </c>
      <c r="E601" s="9" t="s">
        <v>243</v>
      </c>
      <c r="F601" s="9" t="s">
        <v>19</v>
      </c>
      <c r="G601" s="9" t="s">
        <v>15</v>
      </c>
      <c r="H601" s="9" t="s">
        <v>20</v>
      </c>
      <c r="I601" s="9">
        <v>5</v>
      </c>
      <c r="J601" s="9">
        <v>959</v>
      </c>
      <c r="K601" s="10">
        <v>4795</v>
      </c>
      <c r="L601" s="9">
        <f>HOUR([1]restaurant_sales_1200!$B601)</f>
        <v>20</v>
      </c>
      <c r="M601" s="9" t="str">
        <f t="shared" si="2"/>
        <v>Wednesday</v>
      </c>
    </row>
    <row r="602" spans="1:13" x14ac:dyDescent="0.25">
      <c r="A602" s="6">
        <v>1601</v>
      </c>
      <c r="B602" s="7">
        <v>45109.151793159719</v>
      </c>
      <c r="C602" s="7">
        <v>45109.151793159719</v>
      </c>
      <c r="D602" s="8">
        <v>45109.151793159719</v>
      </c>
      <c r="E602" s="9" t="s">
        <v>46</v>
      </c>
      <c r="F602" s="9" t="s">
        <v>1</v>
      </c>
      <c r="G602" s="9" t="s">
        <v>15</v>
      </c>
      <c r="H602" s="9" t="s">
        <v>33</v>
      </c>
      <c r="I602" s="9">
        <v>3</v>
      </c>
      <c r="J602" s="9">
        <v>417</v>
      </c>
      <c r="K602" s="10">
        <v>1251</v>
      </c>
      <c r="L602" s="9">
        <f>HOUR([1]restaurant_sales_1200!$B602)</f>
        <v>3</v>
      </c>
      <c r="M602" s="9" t="str">
        <f t="shared" si="2"/>
        <v>Thursday</v>
      </c>
    </row>
    <row r="603" spans="1:13" x14ac:dyDescent="0.25">
      <c r="A603" s="6">
        <v>1602</v>
      </c>
      <c r="B603" s="7">
        <v>45109.455379479165</v>
      </c>
      <c r="C603" s="7">
        <v>45109.455379479165</v>
      </c>
      <c r="D603" s="8">
        <v>45109.455379479165</v>
      </c>
      <c r="E603" s="9" t="s">
        <v>48</v>
      </c>
      <c r="F603" s="9" t="s">
        <v>19</v>
      </c>
      <c r="G603" s="9" t="s">
        <v>15</v>
      </c>
      <c r="H603" s="9" t="s">
        <v>13</v>
      </c>
      <c r="I603" s="9">
        <v>4</v>
      </c>
      <c r="J603" s="9">
        <v>183</v>
      </c>
      <c r="K603" s="10">
        <v>732</v>
      </c>
      <c r="L603" s="9">
        <f>HOUR([1]restaurant_sales_1200!$B603)</f>
        <v>10</v>
      </c>
      <c r="M603" s="9" t="str">
        <f t="shared" si="2"/>
        <v>Friday</v>
      </c>
    </row>
    <row r="604" spans="1:13" x14ac:dyDescent="0.25">
      <c r="A604" s="6">
        <v>1603</v>
      </c>
      <c r="B604" s="7">
        <v>45109.758965810186</v>
      </c>
      <c r="C604" s="7">
        <v>45109.758965810186</v>
      </c>
      <c r="D604" s="8">
        <v>45109.758965810186</v>
      </c>
      <c r="E604" s="9" t="s">
        <v>40</v>
      </c>
      <c r="F604" s="9" t="s">
        <v>5</v>
      </c>
      <c r="G604" s="9" t="s">
        <v>9</v>
      </c>
      <c r="H604" s="9" t="s">
        <v>10</v>
      </c>
      <c r="I604" s="9">
        <v>5</v>
      </c>
      <c r="J604" s="9">
        <v>417</v>
      </c>
      <c r="K604" s="10">
        <v>2085</v>
      </c>
      <c r="L604" s="9">
        <f>HOUR([1]restaurant_sales_1200!$B604)</f>
        <v>18</v>
      </c>
      <c r="M604" s="9" t="str">
        <f t="shared" si="2"/>
        <v>Saturday</v>
      </c>
    </row>
    <row r="605" spans="1:13" x14ac:dyDescent="0.25">
      <c r="A605" s="6">
        <v>1604</v>
      </c>
      <c r="B605" s="7">
        <v>45110.062552129632</v>
      </c>
      <c r="C605" s="7">
        <v>45110.062552129632</v>
      </c>
      <c r="D605" s="8">
        <v>45110.062552129632</v>
      </c>
      <c r="E605" s="9" t="s">
        <v>244</v>
      </c>
      <c r="F605" s="9" t="s">
        <v>8</v>
      </c>
      <c r="G605" s="9" t="s">
        <v>30</v>
      </c>
      <c r="H605" s="9" t="s">
        <v>31</v>
      </c>
      <c r="I605" s="9">
        <v>4</v>
      </c>
      <c r="J605" s="9">
        <v>210</v>
      </c>
      <c r="K605" s="10">
        <v>840</v>
      </c>
      <c r="L605" s="9">
        <f>HOUR([1]restaurant_sales_1200!$B605)</f>
        <v>1</v>
      </c>
      <c r="M605" s="9" t="str">
        <f t="shared" si="2"/>
        <v>Sunday</v>
      </c>
    </row>
    <row r="606" spans="1:13" x14ac:dyDescent="0.25">
      <c r="A606" s="6">
        <v>1605</v>
      </c>
      <c r="B606" s="7">
        <v>45110.366138449077</v>
      </c>
      <c r="C606" s="7">
        <v>45110.366138449077</v>
      </c>
      <c r="D606" s="8">
        <v>45110.366138449077</v>
      </c>
      <c r="E606" s="9" t="s">
        <v>278</v>
      </c>
      <c r="F606" s="9" t="s">
        <v>1</v>
      </c>
      <c r="G606" s="9" t="s">
        <v>2</v>
      </c>
      <c r="H606" s="9" t="s">
        <v>10</v>
      </c>
      <c r="I606" s="9">
        <v>3</v>
      </c>
      <c r="J606" s="9">
        <v>350</v>
      </c>
      <c r="K606" s="10">
        <v>1050</v>
      </c>
      <c r="L606" s="9">
        <f>HOUR([1]restaurant_sales_1200!$B606)</f>
        <v>8</v>
      </c>
      <c r="M606" s="9" t="str">
        <f t="shared" si="2"/>
        <v>Monday</v>
      </c>
    </row>
    <row r="607" spans="1:13" x14ac:dyDescent="0.25">
      <c r="A607" s="6">
        <v>1606</v>
      </c>
      <c r="B607" s="7">
        <v>45110.669724768515</v>
      </c>
      <c r="C607" s="7">
        <v>45110.669724768515</v>
      </c>
      <c r="D607" s="8">
        <v>45110.669724768515</v>
      </c>
      <c r="E607" s="9" t="s">
        <v>193</v>
      </c>
      <c r="F607" s="9" t="s">
        <v>19</v>
      </c>
      <c r="G607" s="9" t="s">
        <v>9</v>
      </c>
      <c r="H607" s="9" t="s">
        <v>3</v>
      </c>
      <c r="I607" s="9">
        <v>3</v>
      </c>
      <c r="J607" s="9">
        <v>482</v>
      </c>
      <c r="K607" s="10">
        <v>1446</v>
      </c>
      <c r="L607" s="9">
        <f>HOUR([1]restaurant_sales_1200!$B607)</f>
        <v>16</v>
      </c>
      <c r="M607" s="9" t="str">
        <f t="shared" si="2"/>
        <v>Tuesday</v>
      </c>
    </row>
    <row r="608" spans="1:13" x14ac:dyDescent="0.25">
      <c r="A608" s="6">
        <v>1607</v>
      </c>
      <c r="B608" s="7">
        <v>45110.973311087961</v>
      </c>
      <c r="C608" s="7">
        <v>45110.973311087961</v>
      </c>
      <c r="D608" s="8">
        <v>45110.973311087961</v>
      </c>
      <c r="E608" s="9" t="s">
        <v>229</v>
      </c>
      <c r="F608" s="9" t="s">
        <v>8</v>
      </c>
      <c r="G608" s="9" t="s">
        <v>15</v>
      </c>
      <c r="H608" s="9" t="s">
        <v>24</v>
      </c>
      <c r="I608" s="9">
        <v>4</v>
      </c>
      <c r="J608" s="9">
        <v>106</v>
      </c>
      <c r="K608" s="10">
        <v>424</v>
      </c>
      <c r="L608" s="9">
        <f>HOUR([1]restaurant_sales_1200!$B608)</f>
        <v>23</v>
      </c>
      <c r="M608" s="9" t="str">
        <f t="shared" si="2"/>
        <v>Wednesday</v>
      </c>
    </row>
    <row r="609" spans="1:13" x14ac:dyDescent="0.25">
      <c r="A609" s="6">
        <v>1608</v>
      </c>
      <c r="B609" s="7">
        <v>45111.276897418982</v>
      </c>
      <c r="C609" s="7">
        <v>45111.276897418982</v>
      </c>
      <c r="D609" s="8">
        <v>45111.276897418982</v>
      </c>
      <c r="E609" s="9" t="s">
        <v>133</v>
      </c>
      <c r="F609" s="9" t="s">
        <v>5</v>
      </c>
      <c r="G609" s="9" t="s">
        <v>6</v>
      </c>
      <c r="H609" s="9" t="s">
        <v>3</v>
      </c>
      <c r="I609" s="9">
        <v>1</v>
      </c>
      <c r="J609" s="9">
        <v>558</v>
      </c>
      <c r="K609" s="10">
        <v>558</v>
      </c>
      <c r="L609" s="9">
        <f>HOUR([1]restaurant_sales_1200!$B609)</f>
        <v>6</v>
      </c>
      <c r="M609" s="9" t="str">
        <f t="shared" si="2"/>
        <v>Thursday</v>
      </c>
    </row>
    <row r="610" spans="1:13" x14ac:dyDescent="0.25">
      <c r="A610" s="6">
        <v>1609</v>
      </c>
      <c r="B610" s="7">
        <v>45111.580483738428</v>
      </c>
      <c r="C610" s="7">
        <v>45111.580483738428</v>
      </c>
      <c r="D610" s="8">
        <v>45111.580483738428</v>
      </c>
      <c r="E610" s="9" t="s">
        <v>128</v>
      </c>
      <c r="F610" s="9" t="s">
        <v>5</v>
      </c>
      <c r="G610" s="9" t="s">
        <v>15</v>
      </c>
      <c r="H610" s="9" t="s">
        <v>33</v>
      </c>
      <c r="I610" s="9">
        <v>2</v>
      </c>
      <c r="J610" s="9">
        <v>183</v>
      </c>
      <c r="K610" s="10">
        <v>366</v>
      </c>
      <c r="L610" s="9">
        <f>HOUR([1]restaurant_sales_1200!$B610)</f>
        <v>13</v>
      </c>
      <c r="M610" s="9" t="str">
        <f t="shared" si="2"/>
        <v>Friday</v>
      </c>
    </row>
    <row r="611" spans="1:13" x14ac:dyDescent="0.25">
      <c r="A611" s="6">
        <v>1610</v>
      </c>
      <c r="B611" s="7">
        <v>45111.884070057873</v>
      </c>
      <c r="C611" s="7">
        <v>45111.884070057873</v>
      </c>
      <c r="D611" s="8">
        <v>45111.884070057873</v>
      </c>
      <c r="E611" s="9" t="s">
        <v>216</v>
      </c>
      <c r="F611" s="9" t="s">
        <v>1</v>
      </c>
      <c r="G611" s="9" t="s">
        <v>30</v>
      </c>
      <c r="H611" s="9" t="s">
        <v>24</v>
      </c>
      <c r="I611" s="9">
        <v>1</v>
      </c>
      <c r="J611" s="9">
        <v>307</v>
      </c>
      <c r="K611" s="10">
        <v>307</v>
      </c>
      <c r="L611" s="9">
        <f>HOUR([1]restaurant_sales_1200!$B611)</f>
        <v>21</v>
      </c>
      <c r="M611" s="9" t="str">
        <f t="shared" si="2"/>
        <v>Saturday</v>
      </c>
    </row>
    <row r="612" spans="1:13" x14ac:dyDescent="0.25">
      <c r="A612" s="6">
        <v>1611</v>
      </c>
      <c r="B612" s="7">
        <v>45112.187656377311</v>
      </c>
      <c r="C612" s="7">
        <v>45112.187656377311</v>
      </c>
      <c r="D612" s="8">
        <v>45112.187656377311</v>
      </c>
      <c r="E612" s="9" t="s">
        <v>231</v>
      </c>
      <c r="F612" s="9" t="s">
        <v>1</v>
      </c>
      <c r="G612" s="9" t="s">
        <v>15</v>
      </c>
      <c r="H612" s="9" t="s">
        <v>13</v>
      </c>
      <c r="I612" s="9">
        <v>1</v>
      </c>
      <c r="J612" s="9">
        <v>999</v>
      </c>
      <c r="K612" s="10">
        <v>999</v>
      </c>
      <c r="L612" s="9">
        <f>HOUR([1]restaurant_sales_1200!$B612)</f>
        <v>4</v>
      </c>
      <c r="M612" s="9" t="str">
        <f t="shared" si="2"/>
        <v>Sunday</v>
      </c>
    </row>
    <row r="613" spans="1:13" x14ac:dyDescent="0.25">
      <c r="A613" s="6">
        <v>1612</v>
      </c>
      <c r="B613" s="7">
        <v>45112.491242696757</v>
      </c>
      <c r="C613" s="7">
        <v>45112.491242696757</v>
      </c>
      <c r="D613" s="8">
        <v>45112.491242696757</v>
      </c>
      <c r="E613" s="9" t="s">
        <v>12</v>
      </c>
      <c r="F613" s="9" t="s">
        <v>19</v>
      </c>
      <c r="G613" s="9" t="s">
        <v>30</v>
      </c>
      <c r="H613" s="9" t="s">
        <v>24</v>
      </c>
      <c r="I613" s="9">
        <v>1</v>
      </c>
      <c r="J613" s="9">
        <v>489</v>
      </c>
      <c r="K613" s="10">
        <v>489</v>
      </c>
      <c r="L613" s="9">
        <f>HOUR([1]restaurant_sales_1200!$B613)</f>
        <v>11</v>
      </c>
      <c r="M613" s="9" t="str">
        <f t="shared" si="2"/>
        <v>Monday</v>
      </c>
    </row>
    <row r="614" spans="1:13" x14ac:dyDescent="0.25">
      <c r="A614" s="6">
        <v>1613</v>
      </c>
      <c r="B614" s="7">
        <v>45112.794829027778</v>
      </c>
      <c r="C614" s="7">
        <v>45112.794829027778</v>
      </c>
      <c r="D614" s="8">
        <v>45112.794829027778</v>
      </c>
      <c r="E614" s="9" t="s">
        <v>64</v>
      </c>
      <c r="F614" s="9" t="s">
        <v>8</v>
      </c>
      <c r="G614" s="9" t="s">
        <v>6</v>
      </c>
      <c r="H614" s="9" t="s">
        <v>24</v>
      </c>
      <c r="I614" s="9">
        <v>5</v>
      </c>
      <c r="J614" s="9">
        <v>413</v>
      </c>
      <c r="K614" s="10">
        <v>2065</v>
      </c>
      <c r="L614" s="9">
        <f>HOUR([1]restaurant_sales_1200!$B614)</f>
        <v>19</v>
      </c>
      <c r="M614" s="9" t="str">
        <f t="shared" si="2"/>
        <v>Tuesday</v>
      </c>
    </row>
    <row r="615" spans="1:13" x14ac:dyDescent="0.25">
      <c r="A615" s="6">
        <v>1614</v>
      </c>
      <c r="B615" s="7">
        <v>45113.098415347224</v>
      </c>
      <c r="C615" s="7">
        <v>45113.098415347224</v>
      </c>
      <c r="D615" s="8">
        <v>45113.098415347224</v>
      </c>
      <c r="E615" s="9" t="s">
        <v>197</v>
      </c>
      <c r="F615" s="9" t="s">
        <v>8</v>
      </c>
      <c r="G615" s="9" t="s">
        <v>2</v>
      </c>
      <c r="H615" s="9" t="s">
        <v>16</v>
      </c>
      <c r="I615" s="9">
        <v>3</v>
      </c>
      <c r="J615" s="9">
        <v>121</v>
      </c>
      <c r="K615" s="10">
        <v>363</v>
      </c>
      <c r="L615" s="9">
        <f>HOUR([1]restaurant_sales_1200!$B615)</f>
        <v>2</v>
      </c>
      <c r="M615" s="9" t="str">
        <f t="shared" si="2"/>
        <v>Wednesday</v>
      </c>
    </row>
    <row r="616" spans="1:13" x14ac:dyDescent="0.25">
      <c r="A616" s="6">
        <v>1615</v>
      </c>
      <c r="B616" s="7">
        <v>45113.402001666669</v>
      </c>
      <c r="C616" s="7">
        <v>45113.402001666669</v>
      </c>
      <c r="D616" s="8">
        <v>45113.402001666669</v>
      </c>
      <c r="E616" s="9" t="s">
        <v>25</v>
      </c>
      <c r="F616" s="9" t="s">
        <v>5</v>
      </c>
      <c r="G616" s="9" t="s">
        <v>15</v>
      </c>
      <c r="H616" s="9" t="s">
        <v>16</v>
      </c>
      <c r="I616" s="9">
        <v>1</v>
      </c>
      <c r="J616" s="9">
        <v>509</v>
      </c>
      <c r="K616" s="10">
        <v>509</v>
      </c>
      <c r="L616" s="9">
        <f>HOUR([1]restaurant_sales_1200!$B616)</f>
        <v>9</v>
      </c>
      <c r="M616" s="9" t="str">
        <f t="shared" si="2"/>
        <v>Thursday</v>
      </c>
    </row>
    <row r="617" spans="1:13" x14ac:dyDescent="0.25">
      <c r="A617" s="6">
        <v>1616</v>
      </c>
      <c r="B617" s="7">
        <v>45113.705587986115</v>
      </c>
      <c r="C617" s="7">
        <v>45113.705587986115</v>
      </c>
      <c r="D617" s="8">
        <v>45113.705587986115</v>
      </c>
      <c r="E617" s="9" t="s">
        <v>95</v>
      </c>
      <c r="F617" s="9" t="s">
        <v>5</v>
      </c>
      <c r="G617" s="9" t="s">
        <v>30</v>
      </c>
      <c r="H617" s="9" t="s">
        <v>33</v>
      </c>
      <c r="I617" s="9">
        <v>3</v>
      </c>
      <c r="J617" s="9">
        <v>994</v>
      </c>
      <c r="K617" s="10">
        <v>2982</v>
      </c>
      <c r="L617" s="9">
        <f>HOUR([1]restaurant_sales_1200!$B617)</f>
        <v>16</v>
      </c>
      <c r="M617" s="9" t="str">
        <f t="shared" si="2"/>
        <v>Friday</v>
      </c>
    </row>
    <row r="618" spans="1:13" x14ac:dyDescent="0.25">
      <c r="A618" s="6">
        <v>1617</v>
      </c>
      <c r="B618" s="7">
        <v>45114.009174317129</v>
      </c>
      <c r="C618" s="7">
        <v>45114.009174317129</v>
      </c>
      <c r="D618" s="8">
        <v>45114.009174317129</v>
      </c>
      <c r="E618" s="9" t="s">
        <v>146</v>
      </c>
      <c r="F618" s="9" t="s">
        <v>19</v>
      </c>
      <c r="G618" s="9" t="s">
        <v>2</v>
      </c>
      <c r="H618" s="9" t="s">
        <v>3</v>
      </c>
      <c r="I618" s="9">
        <v>4</v>
      </c>
      <c r="J618" s="9">
        <v>614</v>
      </c>
      <c r="K618" s="10">
        <v>2456</v>
      </c>
      <c r="L618" s="9">
        <f>HOUR([1]restaurant_sales_1200!$B618)</f>
        <v>0</v>
      </c>
      <c r="M618" s="9" t="str">
        <f t="shared" si="2"/>
        <v>Saturday</v>
      </c>
    </row>
    <row r="619" spans="1:13" x14ac:dyDescent="0.25">
      <c r="A619" s="6">
        <v>1618</v>
      </c>
      <c r="B619" s="7">
        <v>45114.312760636574</v>
      </c>
      <c r="C619" s="7">
        <v>45114.312760636574</v>
      </c>
      <c r="D619" s="8">
        <v>45114.312760636574</v>
      </c>
      <c r="E619" s="9" t="s">
        <v>154</v>
      </c>
      <c r="F619" s="9" t="s">
        <v>19</v>
      </c>
      <c r="G619" s="9" t="s">
        <v>6</v>
      </c>
      <c r="H619" s="9" t="s">
        <v>20</v>
      </c>
      <c r="I619" s="9">
        <v>2</v>
      </c>
      <c r="J619" s="9">
        <v>226</v>
      </c>
      <c r="K619" s="10">
        <v>452</v>
      </c>
      <c r="L619" s="9">
        <f>HOUR([1]restaurant_sales_1200!$B619)</f>
        <v>7</v>
      </c>
      <c r="M619" s="9" t="str">
        <f t="shared" si="2"/>
        <v>Sunday</v>
      </c>
    </row>
    <row r="620" spans="1:13" x14ac:dyDescent="0.25">
      <c r="A620" s="6">
        <v>1619</v>
      </c>
      <c r="B620" s="7">
        <v>45114.61634695602</v>
      </c>
      <c r="C620" s="7">
        <v>45114.61634695602</v>
      </c>
      <c r="D620" s="8">
        <v>45114.61634695602</v>
      </c>
      <c r="E620" s="9" t="s">
        <v>108</v>
      </c>
      <c r="F620" s="9" t="s">
        <v>5</v>
      </c>
      <c r="G620" s="9" t="s">
        <v>30</v>
      </c>
      <c r="H620" s="9" t="s">
        <v>13</v>
      </c>
      <c r="I620" s="9">
        <v>4</v>
      </c>
      <c r="J620" s="9">
        <v>908</v>
      </c>
      <c r="K620" s="10">
        <v>3632</v>
      </c>
      <c r="L620" s="9">
        <f>HOUR([1]restaurant_sales_1200!$B620)</f>
        <v>14</v>
      </c>
      <c r="M620" s="9" t="str">
        <f t="shared" si="2"/>
        <v>Monday</v>
      </c>
    </row>
    <row r="621" spans="1:13" x14ac:dyDescent="0.25">
      <c r="A621" s="6">
        <v>1620</v>
      </c>
      <c r="B621" s="7">
        <v>45114.919933275465</v>
      </c>
      <c r="C621" s="7">
        <v>45114.919933275465</v>
      </c>
      <c r="D621" s="8">
        <v>45114.919933275465</v>
      </c>
      <c r="E621" s="9" t="s">
        <v>135</v>
      </c>
      <c r="F621" s="9" t="s">
        <v>5</v>
      </c>
      <c r="G621" s="9" t="s">
        <v>6</v>
      </c>
      <c r="H621" s="9" t="s">
        <v>24</v>
      </c>
      <c r="I621" s="9">
        <v>4</v>
      </c>
      <c r="J621" s="9">
        <v>799</v>
      </c>
      <c r="K621" s="10">
        <v>3196</v>
      </c>
      <c r="L621" s="9">
        <f>HOUR([1]restaurant_sales_1200!$B621)</f>
        <v>22</v>
      </c>
      <c r="M621" s="9" t="str">
        <f t="shared" si="2"/>
        <v>Tuesday</v>
      </c>
    </row>
    <row r="622" spans="1:13" x14ac:dyDescent="0.25">
      <c r="A622" s="6">
        <v>1621</v>
      </c>
      <c r="B622" s="7">
        <v>45115.223519594911</v>
      </c>
      <c r="C622" s="7">
        <v>45115.223519594911</v>
      </c>
      <c r="D622" s="8">
        <v>45115.223519594911</v>
      </c>
      <c r="E622" s="9" t="s">
        <v>141</v>
      </c>
      <c r="F622" s="9" t="s">
        <v>8</v>
      </c>
      <c r="G622" s="9" t="s">
        <v>6</v>
      </c>
      <c r="H622" s="9" t="s">
        <v>31</v>
      </c>
      <c r="I622" s="9">
        <v>5</v>
      </c>
      <c r="J622" s="9">
        <v>973</v>
      </c>
      <c r="K622" s="10">
        <v>4865</v>
      </c>
      <c r="L622" s="9">
        <f>HOUR([1]restaurant_sales_1200!$B622)</f>
        <v>5</v>
      </c>
      <c r="M622" s="9" t="str">
        <f t="shared" si="2"/>
        <v>Wednesday</v>
      </c>
    </row>
    <row r="623" spans="1:13" x14ac:dyDescent="0.25">
      <c r="A623" s="6">
        <v>1622</v>
      </c>
      <c r="B623" s="7">
        <v>45115.527105925925</v>
      </c>
      <c r="C623" s="7">
        <v>45115.527105925925</v>
      </c>
      <c r="D623" s="8">
        <v>45115.527105925925</v>
      </c>
      <c r="E623" s="9" t="s">
        <v>163</v>
      </c>
      <c r="F623" s="9" t="s">
        <v>8</v>
      </c>
      <c r="G623" s="9" t="s">
        <v>9</v>
      </c>
      <c r="H623" s="9" t="s">
        <v>31</v>
      </c>
      <c r="I623" s="9">
        <v>2</v>
      </c>
      <c r="J623" s="9">
        <v>113</v>
      </c>
      <c r="K623" s="10">
        <v>226</v>
      </c>
      <c r="L623" s="9">
        <f>HOUR([1]restaurant_sales_1200!$B623)</f>
        <v>12</v>
      </c>
      <c r="M623" s="9" t="str">
        <f t="shared" si="2"/>
        <v>Thursday</v>
      </c>
    </row>
    <row r="624" spans="1:13" x14ac:dyDescent="0.25">
      <c r="A624" s="6">
        <v>1623</v>
      </c>
      <c r="B624" s="7">
        <v>45115.83069224537</v>
      </c>
      <c r="C624" s="7">
        <v>45115.83069224537</v>
      </c>
      <c r="D624" s="8">
        <v>45115.83069224537</v>
      </c>
      <c r="E624" s="9" t="s">
        <v>117</v>
      </c>
      <c r="F624" s="9" t="s">
        <v>8</v>
      </c>
      <c r="G624" s="9" t="s">
        <v>2</v>
      </c>
      <c r="H624" s="9" t="s">
        <v>47</v>
      </c>
      <c r="I624" s="9">
        <v>4</v>
      </c>
      <c r="J624" s="9">
        <v>111</v>
      </c>
      <c r="K624" s="10">
        <v>444</v>
      </c>
      <c r="L624" s="9">
        <f>HOUR([1]restaurant_sales_1200!$B624)</f>
        <v>19</v>
      </c>
      <c r="M624" s="9" t="str">
        <f t="shared" si="2"/>
        <v>Friday</v>
      </c>
    </row>
    <row r="625" spans="1:13" x14ac:dyDescent="0.25">
      <c r="A625" s="6">
        <v>1624</v>
      </c>
      <c r="B625" s="7">
        <v>45116.134278564816</v>
      </c>
      <c r="C625" s="7">
        <v>45116.134278564816</v>
      </c>
      <c r="D625" s="8">
        <v>45116.134278564816</v>
      </c>
      <c r="E625" s="9" t="s">
        <v>205</v>
      </c>
      <c r="F625" s="9" t="s">
        <v>19</v>
      </c>
      <c r="G625" s="9" t="s">
        <v>9</v>
      </c>
      <c r="H625" s="9" t="s">
        <v>24</v>
      </c>
      <c r="I625" s="9">
        <v>4</v>
      </c>
      <c r="J625" s="9">
        <v>186</v>
      </c>
      <c r="K625" s="10">
        <v>744</v>
      </c>
      <c r="L625" s="9">
        <f>HOUR([1]restaurant_sales_1200!$B625)</f>
        <v>3</v>
      </c>
      <c r="M625" s="9" t="str">
        <f t="shared" si="2"/>
        <v>Saturday</v>
      </c>
    </row>
    <row r="626" spans="1:13" x14ac:dyDescent="0.25">
      <c r="A626" s="6">
        <v>1625</v>
      </c>
      <c r="B626" s="7">
        <v>45116.437864884261</v>
      </c>
      <c r="C626" s="7">
        <v>45116.437864884261</v>
      </c>
      <c r="D626" s="8">
        <v>45116.437864884261</v>
      </c>
      <c r="E626" s="9" t="s">
        <v>28</v>
      </c>
      <c r="F626" s="9" t="s">
        <v>8</v>
      </c>
      <c r="G626" s="9" t="s">
        <v>6</v>
      </c>
      <c r="H626" s="9" t="s">
        <v>24</v>
      </c>
      <c r="I626" s="9">
        <v>2</v>
      </c>
      <c r="J626" s="9">
        <v>623</v>
      </c>
      <c r="K626" s="10">
        <v>1246</v>
      </c>
      <c r="L626" s="9">
        <f>HOUR([1]restaurant_sales_1200!$B626)</f>
        <v>10</v>
      </c>
      <c r="M626" s="9" t="str">
        <f t="shared" si="2"/>
        <v>Sunday</v>
      </c>
    </row>
    <row r="627" spans="1:13" x14ac:dyDescent="0.25">
      <c r="A627" s="6">
        <v>1626</v>
      </c>
      <c r="B627" s="7">
        <v>45116.741451203707</v>
      </c>
      <c r="C627" s="7">
        <v>45116.741451203707</v>
      </c>
      <c r="D627" s="8">
        <v>45116.741451203707</v>
      </c>
      <c r="E627" s="9" t="s">
        <v>250</v>
      </c>
      <c r="F627" s="9" t="s">
        <v>1</v>
      </c>
      <c r="G627" s="9" t="s">
        <v>30</v>
      </c>
      <c r="H627" s="9" t="s">
        <v>33</v>
      </c>
      <c r="I627" s="9">
        <v>2</v>
      </c>
      <c r="J627" s="9">
        <v>636</v>
      </c>
      <c r="K627" s="10">
        <v>1272</v>
      </c>
      <c r="L627" s="9">
        <f>HOUR([1]restaurant_sales_1200!$B627)</f>
        <v>17</v>
      </c>
      <c r="M627" s="9" t="str">
        <f t="shared" si="2"/>
        <v>Monday</v>
      </c>
    </row>
    <row r="628" spans="1:13" x14ac:dyDescent="0.25">
      <c r="A628" s="6">
        <v>1627</v>
      </c>
      <c r="B628" s="7">
        <v>45117.045037534721</v>
      </c>
      <c r="C628" s="7">
        <v>45117.045037534721</v>
      </c>
      <c r="D628" s="8">
        <v>45117.045037534721</v>
      </c>
      <c r="E628" s="9" t="s">
        <v>279</v>
      </c>
      <c r="F628" s="9" t="s">
        <v>1</v>
      </c>
      <c r="G628" s="9" t="s">
        <v>15</v>
      </c>
      <c r="H628" s="9" t="s">
        <v>31</v>
      </c>
      <c r="I628" s="9">
        <v>4</v>
      </c>
      <c r="J628" s="9">
        <v>400</v>
      </c>
      <c r="K628" s="10">
        <v>1600</v>
      </c>
      <c r="L628" s="9">
        <f>HOUR([1]restaurant_sales_1200!$B628)</f>
        <v>1</v>
      </c>
      <c r="M628" s="9" t="str">
        <f t="shared" si="2"/>
        <v>Tuesday</v>
      </c>
    </row>
    <row r="629" spans="1:13" x14ac:dyDescent="0.25">
      <c r="A629" s="6">
        <v>1628</v>
      </c>
      <c r="B629" s="7">
        <v>45117.348623854166</v>
      </c>
      <c r="C629" s="7">
        <v>45117.348623854166</v>
      </c>
      <c r="D629" s="8">
        <v>45117.348623854166</v>
      </c>
      <c r="E629" s="9" t="s">
        <v>280</v>
      </c>
      <c r="F629" s="9" t="s">
        <v>8</v>
      </c>
      <c r="G629" s="9" t="s">
        <v>9</v>
      </c>
      <c r="H629" s="9" t="s">
        <v>20</v>
      </c>
      <c r="I629" s="9">
        <v>2</v>
      </c>
      <c r="J629" s="9">
        <v>342</v>
      </c>
      <c r="K629" s="10">
        <v>684</v>
      </c>
      <c r="L629" s="9">
        <f>HOUR([1]restaurant_sales_1200!$B629)</f>
        <v>8</v>
      </c>
      <c r="M629" s="9" t="str">
        <f t="shared" si="2"/>
        <v>Wednesday</v>
      </c>
    </row>
    <row r="630" spans="1:13" x14ac:dyDescent="0.25">
      <c r="A630" s="6">
        <v>1629</v>
      </c>
      <c r="B630" s="7">
        <v>45117.652210173612</v>
      </c>
      <c r="C630" s="7">
        <v>45117.652210173612</v>
      </c>
      <c r="D630" s="8">
        <v>45117.652210173612</v>
      </c>
      <c r="E630" s="9" t="s">
        <v>181</v>
      </c>
      <c r="F630" s="9" t="s">
        <v>8</v>
      </c>
      <c r="G630" s="9" t="s">
        <v>15</v>
      </c>
      <c r="H630" s="9" t="s">
        <v>20</v>
      </c>
      <c r="I630" s="9">
        <v>4</v>
      </c>
      <c r="J630" s="9">
        <v>221</v>
      </c>
      <c r="K630" s="10">
        <v>884</v>
      </c>
      <c r="L630" s="9">
        <f>HOUR([1]restaurant_sales_1200!$B630)</f>
        <v>15</v>
      </c>
      <c r="M630" s="9" t="str">
        <f t="shared" si="2"/>
        <v>Thursday</v>
      </c>
    </row>
    <row r="631" spans="1:13" x14ac:dyDescent="0.25">
      <c r="A631" s="6">
        <v>1630</v>
      </c>
      <c r="B631" s="7">
        <v>45117.955796493057</v>
      </c>
      <c r="C631" s="7">
        <v>45117.955796493057</v>
      </c>
      <c r="D631" s="8">
        <v>45117.955796493057</v>
      </c>
      <c r="E631" s="9" t="s">
        <v>117</v>
      </c>
      <c r="F631" s="9" t="s">
        <v>5</v>
      </c>
      <c r="G631" s="9" t="s">
        <v>9</v>
      </c>
      <c r="H631" s="9" t="s">
        <v>10</v>
      </c>
      <c r="I631" s="9">
        <v>4</v>
      </c>
      <c r="J631" s="9">
        <v>246</v>
      </c>
      <c r="K631" s="10">
        <v>984</v>
      </c>
      <c r="L631" s="9">
        <f>HOUR([1]restaurant_sales_1200!$B631)</f>
        <v>22</v>
      </c>
      <c r="M631" s="9" t="str">
        <f t="shared" si="2"/>
        <v>Friday</v>
      </c>
    </row>
    <row r="632" spans="1:13" x14ac:dyDescent="0.25">
      <c r="A632" s="6">
        <v>1631</v>
      </c>
      <c r="B632" s="7">
        <v>45118.259382824072</v>
      </c>
      <c r="C632" s="7">
        <v>45118.259382824072</v>
      </c>
      <c r="D632" s="8">
        <v>45118.259382824072</v>
      </c>
      <c r="E632" s="9" t="s">
        <v>71</v>
      </c>
      <c r="F632" s="9" t="s">
        <v>5</v>
      </c>
      <c r="G632" s="9" t="s">
        <v>2</v>
      </c>
      <c r="H632" s="9" t="s">
        <v>31</v>
      </c>
      <c r="I632" s="9">
        <v>5</v>
      </c>
      <c r="J632" s="9">
        <v>666</v>
      </c>
      <c r="K632" s="10">
        <v>3330</v>
      </c>
      <c r="L632" s="9">
        <f>HOUR([1]restaurant_sales_1200!$B632)</f>
        <v>6</v>
      </c>
      <c r="M632" s="9" t="str">
        <f t="shared" si="2"/>
        <v>Saturday</v>
      </c>
    </row>
    <row r="633" spans="1:13" x14ac:dyDescent="0.25">
      <c r="A633" s="6">
        <v>1632</v>
      </c>
      <c r="B633" s="7">
        <v>45118.562969143517</v>
      </c>
      <c r="C633" s="7">
        <v>45118.562969143517</v>
      </c>
      <c r="D633" s="8">
        <v>45118.562969143517</v>
      </c>
      <c r="E633" s="9" t="s">
        <v>147</v>
      </c>
      <c r="F633" s="9" t="s">
        <v>19</v>
      </c>
      <c r="G633" s="9" t="s">
        <v>15</v>
      </c>
      <c r="H633" s="9" t="s">
        <v>20</v>
      </c>
      <c r="I633" s="9">
        <v>1</v>
      </c>
      <c r="J633" s="9">
        <v>849</v>
      </c>
      <c r="K633" s="10">
        <v>849</v>
      </c>
      <c r="L633" s="9">
        <f>HOUR([1]restaurant_sales_1200!$B633)</f>
        <v>13</v>
      </c>
      <c r="M633" s="9" t="str">
        <f t="shared" si="2"/>
        <v>Sunday</v>
      </c>
    </row>
    <row r="634" spans="1:13" x14ac:dyDescent="0.25">
      <c r="A634" s="6">
        <v>1633</v>
      </c>
      <c r="B634" s="7">
        <v>45118.866555462962</v>
      </c>
      <c r="C634" s="7">
        <v>45118.866555462962</v>
      </c>
      <c r="D634" s="8">
        <v>45118.866555462962</v>
      </c>
      <c r="E634" s="9" t="s">
        <v>174</v>
      </c>
      <c r="F634" s="9" t="s">
        <v>1</v>
      </c>
      <c r="G634" s="9" t="s">
        <v>9</v>
      </c>
      <c r="H634" s="9" t="s">
        <v>24</v>
      </c>
      <c r="I634" s="9">
        <v>4</v>
      </c>
      <c r="J634" s="9">
        <v>455</v>
      </c>
      <c r="K634" s="10">
        <v>1820</v>
      </c>
      <c r="L634" s="9">
        <f>HOUR([1]restaurant_sales_1200!$B634)</f>
        <v>20</v>
      </c>
      <c r="M634" s="9" t="str">
        <f t="shared" si="2"/>
        <v>Monday</v>
      </c>
    </row>
    <row r="635" spans="1:13" x14ac:dyDescent="0.25">
      <c r="A635" s="6">
        <v>1634</v>
      </c>
      <c r="B635" s="7">
        <v>45119.170141782408</v>
      </c>
      <c r="C635" s="7">
        <v>45119.170141782408</v>
      </c>
      <c r="D635" s="8">
        <v>45119.170141782408</v>
      </c>
      <c r="E635" s="9" t="s">
        <v>188</v>
      </c>
      <c r="F635" s="9" t="s">
        <v>1</v>
      </c>
      <c r="G635" s="9" t="s">
        <v>6</v>
      </c>
      <c r="H635" s="9" t="s">
        <v>10</v>
      </c>
      <c r="I635" s="9">
        <v>3</v>
      </c>
      <c r="J635" s="9">
        <v>784</v>
      </c>
      <c r="K635" s="10">
        <v>2352</v>
      </c>
      <c r="L635" s="9">
        <f>HOUR([1]restaurant_sales_1200!$B635)</f>
        <v>4</v>
      </c>
      <c r="M635" s="9" t="str">
        <f t="shared" si="2"/>
        <v>Tuesday</v>
      </c>
    </row>
    <row r="636" spans="1:13" x14ac:dyDescent="0.25">
      <c r="A636" s="6">
        <v>1635</v>
      </c>
      <c r="B636" s="7">
        <v>45119.473728101853</v>
      </c>
      <c r="C636" s="7">
        <v>45119.473728101853</v>
      </c>
      <c r="D636" s="8">
        <v>45119.473728101853</v>
      </c>
      <c r="E636" s="9" t="s">
        <v>34</v>
      </c>
      <c r="F636" s="9" t="s">
        <v>19</v>
      </c>
      <c r="G636" s="9" t="s">
        <v>30</v>
      </c>
      <c r="H636" s="9" t="s">
        <v>31</v>
      </c>
      <c r="I636" s="9">
        <v>1</v>
      </c>
      <c r="J636" s="9">
        <v>832</v>
      </c>
      <c r="K636" s="10">
        <v>832</v>
      </c>
      <c r="L636" s="9">
        <f>HOUR([1]restaurant_sales_1200!$B636)</f>
        <v>11</v>
      </c>
      <c r="M636" s="9" t="str">
        <f t="shared" si="2"/>
        <v>Wednesday</v>
      </c>
    </row>
    <row r="637" spans="1:13" x14ac:dyDescent="0.25">
      <c r="A637" s="6">
        <v>1636</v>
      </c>
      <c r="B637" s="7">
        <v>45119.777314432868</v>
      </c>
      <c r="C637" s="7">
        <v>45119.777314432868</v>
      </c>
      <c r="D637" s="8">
        <v>45119.777314432868</v>
      </c>
      <c r="E637" s="9" t="s">
        <v>147</v>
      </c>
      <c r="F637" s="9" t="s">
        <v>8</v>
      </c>
      <c r="G637" s="9" t="s">
        <v>6</v>
      </c>
      <c r="H637" s="9" t="s">
        <v>47</v>
      </c>
      <c r="I637" s="9">
        <v>1</v>
      </c>
      <c r="J637" s="9">
        <v>730</v>
      </c>
      <c r="K637" s="10">
        <v>730</v>
      </c>
      <c r="L637" s="9">
        <f>HOUR([1]restaurant_sales_1200!$B637)</f>
        <v>18</v>
      </c>
      <c r="M637" s="9" t="str">
        <f t="shared" si="2"/>
        <v>Thursday</v>
      </c>
    </row>
    <row r="638" spans="1:13" x14ac:dyDescent="0.25">
      <c r="A638" s="6">
        <v>1637</v>
      </c>
      <c r="B638" s="7">
        <v>45120.080900752313</v>
      </c>
      <c r="C638" s="7">
        <v>45120.080900752313</v>
      </c>
      <c r="D638" s="8">
        <v>45120.080900752313</v>
      </c>
      <c r="E638" s="9" t="s">
        <v>255</v>
      </c>
      <c r="F638" s="9" t="s">
        <v>8</v>
      </c>
      <c r="G638" s="9" t="s">
        <v>2</v>
      </c>
      <c r="H638" s="9" t="s">
        <v>33</v>
      </c>
      <c r="I638" s="9">
        <v>1</v>
      </c>
      <c r="J638" s="9">
        <v>408</v>
      </c>
      <c r="K638" s="10">
        <v>408</v>
      </c>
      <c r="L638" s="9">
        <f>HOUR([1]restaurant_sales_1200!$B638)</f>
        <v>1</v>
      </c>
      <c r="M638" s="9" t="str">
        <f t="shared" si="2"/>
        <v>Friday</v>
      </c>
    </row>
    <row r="639" spans="1:13" x14ac:dyDescent="0.25">
      <c r="A639" s="6">
        <v>1638</v>
      </c>
      <c r="B639" s="7">
        <v>45120.384487071758</v>
      </c>
      <c r="C639" s="7">
        <v>45120.384487071758</v>
      </c>
      <c r="D639" s="8">
        <v>45120.384487071758</v>
      </c>
      <c r="E639" s="9" t="s">
        <v>281</v>
      </c>
      <c r="F639" s="9" t="s">
        <v>19</v>
      </c>
      <c r="G639" s="9" t="s">
        <v>2</v>
      </c>
      <c r="H639" s="9" t="s">
        <v>16</v>
      </c>
      <c r="I639" s="9">
        <v>5</v>
      </c>
      <c r="J639" s="9">
        <v>794</v>
      </c>
      <c r="K639" s="10">
        <v>3970</v>
      </c>
      <c r="L639" s="9">
        <f>HOUR([1]restaurant_sales_1200!$B639)</f>
        <v>9</v>
      </c>
      <c r="M639" s="9" t="str">
        <f t="shared" si="2"/>
        <v>Saturday</v>
      </c>
    </row>
    <row r="640" spans="1:13" x14ac:dyDescent="0.25">
      <c r="A640" s="6">
        <v>1639</v>
      </c>
      <c r="B640" s="7">
        <v>45120.688073391204</v>
      </c>
      <c r="C640" s="7">
        <v>45120.688073391204</v>
      </c>
      <c r="D640" s="8">
        <v>45120.688073391204</v>
      </c>
      <c r="E640" s="9" t="s">
        <v>282</v>
      </c>
      <c r="F640" s="9" t="s">
        <v>1</v>
      </c>
      <c r="G640" s="9" t="s">
        <v>9</v>
      </c>
      <c r="H640" s="9" t="s">
        <v>13</v>
      </c>
      <c r="I640" s="9">
        <v>4</v>
      </c>
      <c r="J640" s="9">
        <v>387</v>
      </c>
      <c r="K640" s="10">
        <v>1548</v>
      </c>
      <c r="L640" s="9">
        <f>HOUR([1]restaurant_sales_1200!$B640)</f>
        <v>16</v>
      </c>
      <c r="M640" s="9" t="str">
        <f t="shared" si="2"/>
        <v>Sunday</v>
      </c>
    </row>
    <row r="641" spans="1:13" x14ac:dyDescent="0.25">
      <c r="A641" s="6">
        <v>1640</v>
      </c>
      <c r="B641" s="7">
        <v>45120.991659710649</v>
      </c>
      <c r="C641" s="7">
        <v>45120.991659710649</v>
      </c>
      <c r="D641" s="8">
        <v>45120.991659710649</v>
      </c>
      <c r="E641" s="9" t="s">
        <v>36</v>
      </c>
      <c r="F641" s="9" t="s">
        <v>1</v>
      </c>
      <c r="G641" s="9" t="s">
        <v>6</v>
      </c>
      <c r="H641" s="9" t="s">
        <v>33</v>
      </c>
      <c r="I641" s="9">
        <v>5</v>
      </c>
      <c r="J641" s="9">
        <v>406</v>
      </c>
      <c r="K641" s="10">
        <v>2030</v>
      </c>
      <c r="L641" s="9">
        <f>HOUR([1]restaurant_sales_1200!$B641)</f>
        <v>23</v>
      </c>
      <c r="M641" s="9" t="str">
        <f t="shared" si="2"/>
        <v>Monday</v>
      </c>
    </row>
    <row r="642" spans="1:13" x14ac:dyDescent="0.25">
      <c r="A642" s="6">
        <v>1641</v>
      </c>
      <c r="B642" s="7">
        <v>45121.295246041664</v>
      </c>
      <c r="C642" s="7">
        <v>45121.295246041664</v>
      </c>
      <c r="D642" s="8">
        <v>45121.295246041664</v>
      </c>
      <c r="E642" s="9" t="s">
        <v>177</v>
      </c>
      <c r="F642" s="9" t="s">
        <v>8</v>
      </c>
      <c r="G642" s="9" t="s">
        <v>15</v>
      </c>
      <c r="H642" s="9" t="s">
        <v>31</v>
      </c>
      <c r="I642" s="9">
        <v>4</v>
      </c>
      <c r="J642" s="9">
        <v>911</v>
      </c>
      <c r="K642" s="10">
        <v>3644</v>
      </c>
      <c r="L642" s="9">
        <f>HOUR([1]restaurant_sales_1200!$B642)</f>
        <v>7</v>
      </c>
      <c r="M642" s="9" t="str">
        <f t="shared" si="2"/>
        <v>Tuesday</v>
      </c>
    </row>
    <row r="643" spans="1:13" x14ac:dyDescent="0.25">
      <c r="A643" s="6">
        <v>1642</v>
      </c>
      <c r="B643" s="7">
        <v>45121.598832361109</v>
      </c>
      <c r="C643" s="7">
        <v>45121.598832361109</v>
      </c>
      <c r="D643" s="8">
        <v>45121.598832361109</v>
      </c>
      <c r="E643" s="9" t="s">
        <v>164</v>
      </c>
      <c r="F643" s="9" t="s">
        <v>5</v>
      </c>
      <c r="G643" s="9" t="s">
        <v>9</v>
      </c>
      <c r="H643" s="9" t="s">
        <v>31</v>
      </c>
      <c r="I643" s="9">
        <v>5</v>
      </c>
      <c r="J643" s="9">
        <v>693</v>
      </c>
      <c r="K643" s="10">
        <v>3465</v>
      </c>
      <c r="L643" s="9">
        <f>HOUR([1]restaurant_sales_1200!$B643)</f>
        <v>14</v>
      </c>
      <c r="M643" s="9" t="str">
        <f t="shared" si="2"/>
        <v>Wednesday</v>
      </c>
    </row>
    <row r="644" spans="1:13" x14ac:dyDescent="0.25">
      <c r="A644" s="6">
        <v>1643</v>
      </c>
      <c r="B644" s="7">
        <v>45121.902418680555</v>
      </c>
      <c r="C644" s="7">
        <v>45121.902418680555</v>
      </c>
      <c r="D644" s="8">
        <v>45121.902418680555</v>
      </c>
      <c r="E644" s="9" t="s">
        <v>17</v>
      </c>
      <c r="F644" s="9" t="s">
        <v>19</v>
      </c>
      <c r="G644" s="9" t="s">
        <v>9</v>
      </c>
      <c r="H644" s="9" t="s">
        <v>33</v>
      </c>
      <c r="I644" s="9">
        <v>5</v>
      </c>
      <c r="J644" s="9">
        <v>822</v>
      </c>
      <c r="K644" s="10">
        <v>4110</v>
      </c>
      <c r="L644" s="9">
        <f>HOUR([1]restaurant_sales_1200!$B644)</f>
        <v>21</v>
      </c>
      <c r="M644" s="9" t="str">
        <f t="shared" si="2"/>
        <v>Thursday</v>
      </c>
    </row>
    <row r="645" spans="1:13" x14ac:dyDescent="0.25">
      <c r="A645" s="6">
        <v>1644</v>
      </c>
      <c r="B645" s="7">
        <v>45122.206005</v>
      </c>
      <c r="C645" s="7">
        <v>45122.206005</v>
      </c>
      <c r="D645" s="8">
        <v>45122.206005</v>
      </c>
      <c r="E645" s="9" t="s">
        <v>209</v>
      </c>
      <c r="F645" s="9" t="s">
        <v>19</v>
      </c>
      <c r="G645" s="9" t="s">
        <v>6</v>
      </c>
      <c r="H645" s="9" t="s">
        <v>47</v>
      </c>
      <c r="I645" s="9">
        <v>3</v>
      </c>
      <c r="J645" s="9">
        <v>761</v>
      </c>
      <c r="K645" s="10">
        <v>2283</v>
      </c>
      <c r="L645" s="9">
        <f>HOUR([1]restaurant_sales_1200!$B645)</f>
        <v>4</v>
      </c>
      <c r="M645" s="9" t="str">
        <f t="shared" si="2"/>
        <v>Friday</v>
      </c>
    </row>
    <row r="646" spans="1:13" x14ac:dyDescent="0.25">
      <c r="A646" s="6">
        <v>1645</v>
      </c>
      <c r="B646" s="7">
        <v>45122.509591331022</v>
      </c>
      <c r="C646" s="7">
        <v>45122.509591331022</v>
      </c>
      <c r="D646" s="8">
        <v>45122.509591331022</v>
      </c>
      <c r="E646" s="9" t="s">
        <v>151</v>
      </c>
      <c r="F646" s="9" t="s">
        <v>8</v>
      </c>
      <c r="G646" s="9" t="s">
        <v>30</v>
      </c>
      <c r="H646" s="9" t="s">
        <v>3</v>
      </c>
      <c r="I646" s="9">
        <v>5</v>
      </c>
      <c r="J646" s="9">
        <v>648</v>
      </c>
      <c r="K646" s="10">
        <v>3240</v>
      </c>
      <c r="L646" s="9">
        <f>HOUR([1]restaurant_sales_1200!$B646)</f>
        <v>12</v>
      </c>
      <c r="M646" s="9" t="str">
        <f t="shared" si="2"/>
        <v>Saturday</v>
      </c>
    </row>
    <row r="647" spans="1:13" x14ac:dyDescent="0.25">
      <c r="A647" s="6">
        <v>1646</v>
      </c>
      <c r="B647" s="7">
        <v>45122.81317765046</v>
      </c>
      <c r="C647" s="7">
        <v>45122.81317765046</v>
      </c>
      <c r="D647" s="8">
        <v>45122.81317765046</v>
      </c>
      <c r="E647" s="9" t="s">
        <v>198</v>
      </c>
      <c r="F647" s="9" t="s">
        <v>19</v>
      </c>
      <c r="G647" s="9" t="s">
        <v>2</v>
      </c>
      <c r="H647" s="9" t="s">
        <v>24</v>
      </c>
      <c r="I647" s="9">
        <v>2</v>
      </c>
      <c r="J647" s="9">
        <v>451</v>
      </c>
      <c r="K647" s="10">
        <v>902</v>
      </c>
      <c r="L647" s="9">
        <f>HOUR([1]restaurant_sales_1200!$B647)</f>
        <v>19</v>
      </c>
      <c r="M647" s="9" t="str">
        <f t="shared" si="2"/>
        <v>Sunday</v>
      </c>
    </row>
    <row r="648" spans="1:13" x14ac:dyDescent="0.25">
      <c r="A648" s="6">
        <v>1647</v>
      </c>
      <c r="B648" s="7">
        <v>45123.116763969905</v>
      </c>
      <c r="C648" s="7">
        <v>45123.116763969905</v>
      </c>
      <c r="D648" s="8">
        <v>45123.116763969905</v>
      </c>
      <c r="E648" s="9" t="s">
        <v>224</v>
      </c>
      <c r="F648" s="9" t="s">
        <v>1</v>
      </c>
      <c r="G648" s="9" t="s">
        <v>15</v>
      </c>
      <c r="H648" s="9" t="s">
        <v>31</v>
      </c>
      <c r="I648" s="9">
        <v>3</v>
      </c>
      <c r="J648" s="9">
        <v>411</v>
      </c>
      <c r="K648" s="10">
        <v>1233</v>
      </c>
      <c r="L648" s="9">
        <f>HOUR([1]restaurant_sales_1200!$B648)</f>
        <v>2</v>
      </c>
      <c r="M648" s="9" t="str">
        <f t="shared" si="2"/>
        <v>Monday</v>
      </c>
    </row>
    <row r="649" spans="1:13" x14ac:dyDescent="0.25">
      <c r="A649" s="6">
        <v>1648</v>
      </c>
      <c r="B649" s="7">
        <v>45123.420350289351</v>
      </c>
      <c r="C649" s="7">
        <v>45123.420350289351</v>
      </c>
      <c r="D649" s="8">
        <v>45123.420350289351</v>
      </c>
      <c r="E649" s="9" t="s">
        <v>283</v>
      </c>
      <c r="F649" s="9" t="s">
        <v>8</v>
      </c>
      <c r="G649" s="9" t="s">
        <v>2</v>
      </c>
      <c r="H649" s="9" t="s">
        <v>26</v>
      </c>
      <c r="I649" s="9">
        <v>5</v>
      </c>
      <c r="J649" s="9">
        <v>972</v>
      </c>
      <c r="K649" s="10">
        <v>4860</v>
      </c>
      <c r="L649" s="9">
        <f>HOUR([1]restaurant_sales_1200!$B649)</f>
        <v>10</v>
      </c>
      <c r="M649" s="9" t="str">
        <f t="shared" si="2"/>
        <v>Tuesday</v>
      </c>
    </row>
    <row r="650" spans="1:13" x14ac:dyDescent="0.25">
      <c r="A650" s="6">
        <v>1649</v>
      </c>
      <c r="B650" s="7">
        <v>45123.723936608796</v>
      </c>
      <c r="C650" s="7">
        <v>45123.723936608796</v>
      </c>
      <c r="D650" s="8">
        <v>45123.723936608796</v>
      </c>
      <c r="E650" s="9" t="s">
        <v>140</v>
      </c>
      <c r="F650" s="9" t="s">
        <v>1</v>
      </c>
      <c r="G650" s="9" t="s">
        <v>9</v>
      </c>
      <c r="H650" s="9" t="s">
        <v>20</v>
      </c>
      <c r="I650" s="9">
        <v>1</v>
      </c>
      <c r="J650" s="9">
        <v>158</v>
      </c>
      <c r="K650" s="10">
        <v>158</v>
      </c>
      <c r="L650" s="9">
        <f>HOUR([1]restaurant_sales_1200!$B650)</f>
        <v>17</v>
      </c>
      <c r="M650" s="9" t="str">
        <f t="shared" si="2"/>
        <v>Wednesday</v>
      </c>
    </row>
    <row r="651" spans="1:13" x14ac:dyDescent="0.25">
      <c r="A651" s="6">
        <v>1650</v>
      </c>
      <c r="B651" s="7">
        <v>45124.027522939818</v>
      </c>
      <c r="C651" s="7">
        <v>45124.027522939818</v>
      </c>
      <c r="D651" s="8">
        <v>45124.027522939818</v>
      </c>
      <c r="E651" s="9" t="s">
        <v>99</v>
      </c>
      <c r="F651" s="9" t="s">
        <v>5</v>
      </c>
      <c r="G651" s="9" t="s">
        <v>30</v>
      </c>
      <c r="H651" s="9" t="s">
        <v>3</v>
      </c>
      <c r="I651" s="9">
        <v>2</v>
      </c>
      <c r="J651" s="9">
        <v>742</v>
      </c>
      <c r="K651" s="10">
        <v>1484</v>
      </c>
      <c r="L651" s="9">
        <f>HOUR([1]restaurant_sales_1200!$B651)</f>
        <v>0</v>
      </c>
      <c r="M651" s="9" t="str">
        <f t="shared" si="2"/>
        <v>Thursday</v>
      </c>
    </row>
    <row r="652" spans="1:13" x14ac:dyDescent="0.25">
      <c r="A652" s="6">
        <v>1651</v>
      </c>
      <c r="B652" s="7">
        <v>45124.331109259256</v>
      </c>
      <c r="C652" s="7">
        <v>45124.331109259256</v>
      </c>
      <c r="D652" s="8">
        <v>45124.331109259256</v>
      </c>
      <c r="E652" s="9" t="s">
        <v>72</v>
      </c>
      <c r="F652" s="9" t="s">
        <v>19</v>
      </c>
      <c r="G652" s="9" t="s">
        <v>9</v>
      </c>
      <c r="H652" s="9" t="s">
        <v>10</v>
      </c>
      <c r="I652" s="9">
        <v>2</v>
      </c>
      <c r="J652" s="9">
        <v>813</v>
      </c>
      <c r="K652" s="10">
        <v>1626</v>
      </c>
      <c r="L652" s="9">
        <f>HOUR([1]restaurant_sales_1200!$B652)</f>
        <v>7</v>
      </c>
      <c r="M652" s="9" t="str">
        <f t="shared" si="2"/>
        <v>Friday</v>
      </c>
    </row>
    <row r="653" spans="1:13" x14ac:dyDescent="0.25">
      <c r="A653" s="6">
        <v>1652</v>
      </c>
      <c r="B653" s="7">
        <v>45124.634695578701</v>
      </c>
      <c r="C653" s="7">
        <v>45124.634695578701</v>
      </c>
      <c r="D653" s="8">
        <v>45124.634695578701</v>
      </c>
      <c r="E653" s="9" t="s">
        <v>64</v>
      </c>
      <c r="F653" s="9" t="s">
        <v>19</v>
      </c>
      <c r="G653" s="9" t="s">
        <v>30</v>
      </c>
      <c r="H653" s="9" t="s">
        <v>10</v>
      </c>
      <c r="I653" s="9">
        <v>2</v>
      </c>
      <c r="J653" s="9">
        <v>854</v>
      </c>
      <c r="K653" s="10">
        <v>1708</v>
      </c>
      <c r="L653" s="9">
        <f>HOUR([1]restaurant_sales_1200!$B653)</f>
        <v>15</v>
      </c>
      <c r="M653" s="9" t="str">
        <f t="shared" si="2"/>
        <v>Saturday</v>
      </c>
    </row>
    <row r="654" spans="1:13" x14ac:dyDescent="0.25">
      <c r="A654" s="6">
        <v>1653</v>
      </c>
      <c r="B654" s="7">
        <v>45124.938281898147</v>
      </c>
      <c r="C654" s="7">
        <v>45124.938281898147</v>
      </c>
      <c r="D654" s="8">
        <v>45124.938281898147</v>
      </c>
      <c r="E654" s="9" t="s">
        <v>123</v>
      </c>
      <c r="F654" s="9" t="s">
        <v>1</v>
      </c>
      <c r="G654" s="9" t="s">
        <v>6</v>
      </c>
      <c r="H654" s="9" t="s">
        <v>16</v>
      </c>
      <c r="I654" s="9">
        <v>3</v>
      </c>
      <c r="J654" s="9">
        <v>134</v>
      </c>
      <c r="K654" s="10">
        <v>402</v>
      </c>
      <c r="L654" s="9">
        <f>HOUR([1]restaurant_sales_1200!$B654)</f>
        <v>22</v>
      </c>
      <c r="M654" s="9" t="str">
        <f t="shared" si="2"/>
        <v>Sunday</v>
      </c>
    </row>
    <row r="655" spans="1:13" x14ac:dyDescent="0.25">
      <c r="A655" s="6">
        <v>1654</v>
      </c>
      <c r="B655" s="7">
        <v>45125.241868229168</v>
      </c>
      <c r="C655" s="7">
        <v>45125.241868229168</v>
      </c>
      <c r="D655" s="8">
        <v>45125.241868229168</v>
      </c>
      <c r="E655" s="9" t="s">
        <v>43</v>
      </c>
      <c r="F655" s="9" t="s">
        <v>8</v>
      </c>
      <c r="G655" s="9" t="s">
        <v>2</v>
      </c>
      <c r="H655" s="9" t="s">
        <v>10</v>
      </c>
      <c r="I655" s="9">
        <v>5</v>
      </c>
      <c r="J655" s="9">
        <v>544</v>
      </c>
      <c r="K655" s="10">
        <v>2720</v>
      </c>
      <c r="L655" s="9">
        <f>HOUR([1]restaurant_sales_1200!$B655)</f>
        <v>5</v>
      </c>
      <c r="M655" s="9" t="str">
        <f t="shared" si="2"/>
        <v>Monday</v>
      </c>
    </row>
    <row r="656" spans="1:13" x14ac:dyDescent="0.25">
      <c r="A656" s="6">
        <v>1655</v>
      </c>
      <c r="B656" s="7">
        <v>45125.545454548614</v>
      </c>
      <c r="C656" s="7">
        <v>45125.545454548614</v>
      </c>
      <c r="D656" s="8">
        <v>45125.545454548614</v>
      </c>
      <c r="E656" s="9" t="s">
        <v>284</v>
      </c>
      <c r="F656" s="9" t="s">
        <v>8</v>
      </c>
      <c r="G656" s="9" t="s">
        <v>9</v>
      </c>
      <c r="H656" s="9" t="s">
        <v>10</v>
      </c>
      <c r="I656" s="9">
        <v>5</v>
      </c>
      <c r="J656" s="9">
        <v>192</v>
      </c>
      <c r="K656" s="10">
        <v>960</v>
      </c>
      <c r="L656" s="9">
        <f>HOUR([1]restaurant_sales_1200!$B656)</f>
        <v>13</v>
      </c>
      <c r="M656" s="9" t="str">
        <f t="shared" si="2"/>
        <v>Tuesday</v>
      </c>
    </row>
    <row r="657" spans="1:13" x14ac:dyDescent="0.25">
      <c r="A657" s="6">
        <v>1656</v>
      </c>
      <c r="B657" s="7">
        <v>45125.849040868059</v>
      </c>
      <c r="C657" s="7">
        <v>45125.849040868059</v>
      </c>
      <c r="D657" s="8">
        <v>45125.849040868059</v>
      </c>
      <c r="E657" s="9" t="s">
        <v>244</v>
      </c>
      <c r="F657" s="9" t="s">
        <v>19</v>
      </c>
      <c r="G657" s="9" t="s">
        <v>30</v>
      </c>
      <c r="H657" s="9" t="s">
        <v>13</v>
      </c>
      <c r="I657" s="9">
        <v>1</v>
      </c>
      <c r="J657" s="9">
        <v>306</v>
      </c>
      <c r="K657" s="10">
        <v>306</v>
      </c>
      <c r="L657" s="9">
        <f>HOUR([1]restaurant_sales_1200!$B657)</f>
        <v>20</v>
      </c>
      <c r="M657" s="9" t="str">
        <f t="shared" si="2"/>
        <v>Wednesday</v>
      </c>
    </row>
    <row r="658" spans="1:13" x14ac:dyDescent="0.25">
      <c r="A658" s="6">
        <v>1657</v>
      </c>
      <c r="B658" s="7">
        <v>45126.152627187497</v>
      </c>
      <c r="C658" s="7">
        <v>45126.152627187497</v>
      </c>
      <c r="D658" s="8">
        <v>45126.152627187497</v>
      </c>
      <c r="E658" s="9" t="s">
        <v>132</v>
      </c>
      <c r="F658" s="9" t="s">
        <v>1</v>
      </c>
      <c r="G658" s="9" t="s">
        <v>30</v>
      </c>
      <c r="H658" s="9" t="s">
        <v>33</v>
      </c>
      <c r="I658" s="9">
        <v>1</v>
      </c>
      <c r="J658" s="9">
        <v>452</v>
      </c>
      <c r="K658" s="10">
        <v>452</v>
      </c>
      <c r="L658" s="9">
        <f>HOUR([1]restaurant_sales_1200!$B658)</f>
        <v>3</v>
      </c>
      <c r="M658" s="9" t="str">
        <f t="shared" si="2"/>
        <v>Thursday</v>
      </c>
    </row>
    <row r="659" spans="1:13" x14ac:dyDescent="0.25">
      <c r="A659" s="6">
        <v>1658</v>
      </c>
      <c r="B659" s="7">
        <v>45126.456213506943</v>
      </c>
      <c r="C659" s="7">
        <v>45126.456213506943</v>
      </c>
      <c r="D659" s="8">
        <v>45126.456213506943</v>
      </c>
      <c r="E659" s="9" t="s">
        <v>124</v>
      </c>
      <c r="F659" s="9" t="s">
        <v>5</v>
      </c>
      <c r="G659" s="9" t="s">
        <v>9</v>
      </c>
      <c r="H659" s="9" t="s">
        <v>10</v>
      </c>
      <c r="I659" s="9">
        <v>2</v>
      </c>
      <c r="J659" s="9">
        <v>431</v>
      </c>
      <c r="K659" s="10">
        <v>862</v>
      </c>
      <c r="L659" s="9">
        <f>HOUR([1]restaurant_sales_1200!$B659)</f>
        <v>10</v>
      </c>
      <c r="M659" s="9" t="str">
        <f t="shared" si="2"/>
        <v>Friday</v>
      </c>
    </row>
    <row r="660" spans="1:13" x14ac:dyDescent="0.25">
      <c r="A660" s="6">
        <v>1659</v>
      </c>
      <c r="B660" s="7">
        <v>45126.759799837964</v>
      </c>
      <c r="C660" s="7">
        <v>45126.759799837964</v>
      </c>
      <c r="D660" s="8">
        <v>45126.759799837964</v>
      </c>
      <c r="E660" s="9" t="s">
        <v>285</v>
      </c>
      <c r="F660" s="9" t="s">
        <v>1</v>
      </c>
      <c r="G660" s="9" t="s">
        <v>2</v>
      </c>
      <c r="H660" s="9" t="s">
        <v>31</v>
      </c>
      <c r="I660" s="9">
        <v>1</v>
      </c>
      <c r="J660" s="9">
        <v>916</v>
      </c>
      <c r="K660" s="10">
        <v>916</v>
      </c>
      <c r="L660" s="9">
        <f>HOUR([1]restaurant_sales_1200!$B660)</f>
        <v>18</v>
      </c>
      <c r="M660" s="9" t="str">
        <f t="shared" si="2"/>
        <v>Saturday</v>
      </c>
    </row>
    <row r="661" spans="1:13" x14ac:dyDescent="0.25">
      <c r="A661" s="6">
        <v>1660</v>
      </c>
      <c r="B661" s="7">
        <v>45127.06338615741</v>
      </c>
      <c r="C661" s="7">
        <v>45127.06338615741</v>
      </c>
      <c r="D661" s="8">
        <v>45127.06338615741</v>
      </c>
      <c r="E661" s="9" t="s">
        <v>61</v>
      </c>
      <c r="F661" s="9" t="s">
        <v>8</v>
      </c>
      <c r="G661" s="9" t="s">
        <v>6</v>
      </c>
      <c r="H661" s="9" t="s">
        <v>24</v>
      </c>
      <c r="I661" s="9">
        <v>3</v>
      </c>
      <c r="J661" s="9">
        <v>961</v>
      </c>
      <c r="K661" s="10">
        <v>2883</v>
      </c>
      <c r="L661" s="9">
        <f>HOUR([1]restaurant_sales_1200!$B661)</f>
        <v>1</v>
      </c>
      <c r="M661" s="9" t="str">
        <f t="shared" si="2"/>
        <v>Sunday</v>
      </c>
    </row>
    <row r="662" spans="1:13" x14ac:dyDescent="0.25">
      <c r="A662" s="6">
        <v>1661</v>
      </c>
      <c r="B662" s="7">
        <v>45127.366972476855</v>
      </c>
      <c r="C662" s="7">
        <v>45127.366972476855</v>
      </c>
      <c r="D662" s="8">
        <v>45127.366972476855</v>
      </c>
      <c r="E662" s="9" t="s">
        <v>54</v>
      </c>
      <c r="F662" s="9" t="s">
        <v>19</v>
      </c>
      <c r="G662" s="9" t="s">
        <v>6</v>
      </c>
      <c r="H662" s="9" t="s">
        <v>33</v>
      </c>
      <c r="I662" s="9">
        <v>5</v>
      </c>
      <c r="J662" s="9">
        <v>824</v>
      </c>
      <c r="K662" s="10">
        <v>4120</v>
      </c>
      <c r="L662" s="9">
        <f>HOUR([1]restaurant_sales_1200!$B662)</f>
        <v>8</v>
      </c>
      <c r="M662" s="9" t="str">
        <f t="shared" si="2"/>
        <v>Monday</v>
      </c>
    </row>
    <row r="663" spans="1:13" x14ac:dyDescent="0.25">
      <c r="A663" s="6">
        <v>1662</v>
      </c>
      <c r="B663" s="7">
        <v>45127.670558796293</v>
      </c>
      <c r="C663" s="7">
        <v>45127.670558796293</v>
      </c>
      <c r="D663" s="8">
        <v>45127.670558796293</v>
      </c>
      <c r="E663" s="9" t="s">
        <v>108</v>
      </c>
      <c r="F663" s="9" t="s">
        <v>19</v>
      </c>
      <c r="G663" s="9" t="s">
        <v>15</v>
      </c>
      <c r="H663" s="9" t="s">
        <v>26</v>
      </c>
      <c r="I663" s="9">
        <v>2</v>
      </c>
      <c r="J663" s="9">
        <v>258</v>
      </c>
      <c r="K663" s="10">
        <v>516</v>
      </c>
      <c r="L663" s="9">
        <f>HOUR([1]restaurant_sales_1200!$B663)</f>
        <v>16</v>
      </c>
      <c r="M663" s="9" t="str">
        <f t="shared" si="2"/>
        <v>Tuesday</v>
      </c>
    </row>
    <row r="664" spans="1:13" x14ac:dyDescent="0.25">
      <c r="A664" s="6">
        <v>1663</v>
      </c>
      <c r="B664" s="7">
        <v>45127.974145115739</v>
      </c>
      <c r="C664" s="7">
        <v>45127.974145115739</v>
      </c>
      <c r="D664" s="8">
        <v>45127.974145115739</v>
      </c>
      <c r="E664" s="9" t="s">
        <v>118</v>
      </c>
      <c r="F664" s="9" t="s">
        <v>19</v>
      </c>
      <c r="G664" s="9" t="s">
        <v>15</v>
      </c>
      <c r="H664" s="9" t="s">
        <v>31</v>
      </c>
      <c r="I664" s="9">
        <v>1</v>
      </c>
      <c r="J664" s="9">
        <v>123</v>
      </c>
      <c r="K664" s="10">
        <v>123</v>
      </c>
      <c r="L664" s="9">
        <f>HOUR([1]restaurant_sales_1200!$B664)</f>
        <v>23</v>
      </c>
      <c r="M664" s="9" t="str">
        <f t="shared" si="2"/>
        <v>Wednesday</v>
      </c>
    </row>
    <row r="665" spans="1:13" x14ac:dyDescent="0.25">
      <c r="A665" s="6">
        <v>1664</v>
      </c>
      <c r="B665" s="7">
        <v>45128.27773144676</v>
      </c>
      <c r="C665" s="7">
        <v>45128.27773144676</v>
      </c>
      <c r="D665" s="8">
        <v>45128.27773144676</v>
      </c>
      <c r="E665" s="9" t="s">
        <v>226</v>
      </c>
      <c r="F665" s="9" t="s">
        <v>5</v>
      </c>
      <c r="G665" s="9" t="s">
        <v>15</v>
      </c>
      <c r="H665" s="9" t="s">
        <v>26</v>
      </c>
      <c r="I665" s="9">
        <v>3</v>
      </c>
      <c r="J665" s="9">
        <v>503</v>
      </c>
      <c r="K665" s="10">
        <v>1509</v>
      </c>
      <c r="L665" s="9">
        <f>HOUR([1]restaurant_sales_1200!$B665)</f>
        <v>6</v>
      </c>
      <c r="M665" s="9" t="str">
        <f t="shared" si="2"/>
        <v>Thursday</v>
      </c>
    </row>
    <row r="666" spans="1:13" x14ac:dyDescent="0.25">
      <c r="A666" s="6">
        <v>1665</v>
      </c>
      <c r="B666" s="7">
        <v>45128.581317766206</v>
      </c>
      <c r="C666" s="7">
        <v>45128.581317766206</v>
      </c>
      <c r="D666" s="8">
        <v>45128.581317766206</v>
      </c>
      <c r="E666" s="9" t="s">
        <v>199</v>
      </c>
      <c r="F666" s="9" t="s">
        <v>5</v>
      </c>
      <c r="G666" s="9" t="s">
        <v>2</v>
      </c>
      <c r="H666" s="9" t="s">
        <v>33</v>
      </c>
      <c r="I666" s="9">
        <v>3</v>
      </c>
      <c r="J666" s="9">
        <v>904</v>
      </c>
      <c r="K666" s="10">
        <v>2712</v>
      </c>
      <c r="L666" s="9">
        <f>HOUR([1]restaurant_sales_1200!$B666)</f>
        <v>13</v>
      </c>
      <c r="M666" s="9" t="str">
        <f t="shared" si="2"/>
        <v>Friday</v>
      </c>
    </row>
    <row r="667" spans="1:13" x14ac:dyDescent="0.25">
      <c r="A667" s="6">
        <v>1666</v>
      </c>
      <c r="B667" s="7">
        <v>45128.884904085651</v>
      </c>
      <c r="C667" s="7">
        <v>45128.884904085651</v>
      </c>
      <c r="D667" s="8">
        <v>45128.884904085651</v>
      </c>
      <c r="E667" s="9" t="s">
        <v>80</v>
      </c>
      <c r="F667" s="9" t="s">
        <v>8</v>
      </c>
      <c r="G667" s="9" t="s">
        <v>15</v>
      </c>
      <c r="H667" s="9" t="s">
        <v>31</v>
      </c>
      <c r="I667" s="9">
        <v>1</v>
      </c>
      <c r="J667" s="9">
        <v>615</v>
      </c>
      <c r="K667" s="10">
        <v>615</v>
      </c>
      <c r="L667" s="9">
        <f>HOUR([1]restaurant_sales_1200!$B667)</f>
        <v>21</v>
      </c>
      <c r="M667" s="9" t="str">
        <f t="shared" si="2"/>
        <v>Saturday</v>
      </c>
    </row>
    <row r="668" spans="1:13" x14ac:dyDescent="0.25">
      <c r="A668" s="6">
        <v>1667</v>
      </c>
      <c r="B668" s="7">
        <v>45129.188490405089</v>
      </c>
      <c r="C668" s="7">
        <v>45129.188490405089</v>
      </c>
      <c r="D668" s="8">
        <v>45129.188490405089</v>
      </c>
      <c r="E668" s="9" t="s">
        <v>96</v>
      </c>
      <c r="F668" s="9" t="s">
        <v>1</v>
      </c>
      <c r="G668" s="9" t="s">
        <v>15</v>
      </c>
      <c r="H668" s="9" t="s">
        <v>13</v>
      </c>
      <c r="I668" s="9">
        <v>5</v>
      </c>
      <c r="J668" s="9">
        <v>831</v>
      </c>
      <c r="K668" s="10">
        <v>4155</v>
      </c>
      <c r="L668" s="9">
        <f>HOUR([1]restaurant_sales_1200!$B668)</f>
        <v>4</v>
      </c>
      <c r="M668" s="9" t="str">
        <f t="shared" si="2"/>
        <v>Sunday</v>
      </c>
    </row>
    <row r="669" spans="1:13" x14ac:dyDescent="0.25">
      <c r="A669" s="6">
        <v>1668</v>
      </c>
      <c r="B669" s="7">
        <v>45129.492076736111</v>
      </c>
      <c r="C669" s="7">
        <v>45129.492076736111</v>
      </c>
      <c r="D669" s="8">
        <v>45129.492076736111</v>
      </c>
      <c r="E669" s="9" t="s">
        <v>286</v>
      </c>
      <c r="F669" s="9" t="s">
        <v>1</v>
      </c>
      <c r="G669" s="9" t="s">
        <v>2</v>
      </c>
      <c r="H669" s="9" t="s">
        <v>24</v>
      </c>
      <c r="I669" s="9">
        <v>1</v>
      </c>
      <c r="J669" s="9">
        <v>463</v>
      </c>
      <c r="K669" s="10">
        <v>463</v>
      </c>
      <c r="L669" s="9">
        <f>HOUR([1]restaurant_sales_1200!$B669)</f>
        <v>11</v>
      </c>
      <c r="M669" s="9" t="str">
        <f t="shared" si="2"/>
        <v>Monday</v>
      </c>
    </row>
    <row r="670" spans="1:13" x14ac:dyDescent="0.25">
      <c r="A670" s="6">
        <v>1669</v>
      </c>
      <c r="B670" s="7">
        <v>45129.795663055556</v>
      </c>
      <c r="C670" s="7">
        <v>45129.795663055556</v>
      </c>
      <c r="D670" s="8">
        <v>45129.795663055556</v>
      </c>
      <c r="E670" s="9" t="s">
        <v>250</v>
      </c>
      <c r="F670" s="9" t="s">
        <v>1</v>
      </c>
      <c r="G670" s="9" t="s">
        <v>15</v>
      </c>
      <c r="H670" s="9" t="s">
        <v>31</v>
      </c>
      <c r="I670" s="9">
        <v>2</v>
      </c>
      <c r="J670" s="9">
        <v>481</v>
      </c>
      <c r="K670" s="10">
        <v>962</v>
      </c>
      <c r="L670" s="9">
        <f>HOUR([1]restaurant_sales_1200!$B670)</f>
        <v>19</v>
      </c>
      <c r="M670" s="9" t="str">
        <f t="shared" si="2"/>
        <v>Tuesday</v>
      </c>
    </row>
    <row r="671" spans="1:13" x14ac:dyDescent="0.25">
      <c r="A671" s="6">
        <v>1670</v>
      </c>
      <c r="B671" s="7">
        <v>45130.099249375002</v>
      </c>
      <c r="C671" s="7">
        <v>45130.099249375002</v>
      </c>
      <c r="D671" s="8">
        <v>45130.099249375002</v>
      </c>
      <c r="E671" s="9" t="s">
        <v>236</v>
      </c>
      <c r="F671" s="9" t="s">
        <v>5</v>
      </c>
      <c r="G671" s="9" t="s">
        <v>6</v>
      </c>
      <c r="H671" s="9" t="s">
        <v>3</v>
      </c>
      <c r="I671" s="9">
        <v>1</v>
      </c>
      <c r="J671" s="9">
        <v>631</v>
      </c>
      <c r="K671" s="10">
        <v>631</v>
      </c>
      <c r="L671" s="9">
        <f>HOUR([1]restaurant_sales_1200!$B671)</f>
        <v>2</v>
      </c>
      <c r="M671" s="9" t="str">
        <f t="shared" si="2"/>
        <v>Wednesday</v>
      </c>
    </row>
    <row r="672" spans="1:13" x14ac:dyDescent="0.25">
      <c r="A672" s="6">
        <v>1671</v>
      </c>
      <c r="B672" s="7">
        <v>45130.402835694447</v>
      </c>
      <c r="C672" s="7">
        <v>45130.402835694447</v>
      </c>
      <c r="D672" s="8">
        <v>45130.402835694447</v>
      </c>
      <c r="E672" s="9" t="s">
        <v>87</v>
      </c>
      <c r="F672" s="9" t="s">
        <v>19</v>
      </c>
      <c r="G672" s="9" t="s">
        <v>9</v>
      </c>
      <c r="H672" s="9" t="s">
        <v>3</v>
      </c>
      <c r="I672" s="9">
        <v>3</v>
      </c>
      <c r="J672" s="9">
        <v>251</v>
      </c>
      <c r="K672" s="10">
        <v>753</v>
      </c>
      <c r="L672" s="9">
        <f>HOUR([1]restaurant_sales_1200!$B672)</f>
        <v>9</v>
      </c>
      <c r="M672" s="9" t="str">
        <f t="shared" si="2"/>
        <v>Thursday</v>
      </c>
    </row>
    <row r="673" spans="1:13" x14ac:dyDescent="0.25">
      <c r="A673" s="6">
        <v>1672</v>
      </c>
      <c r="B673" s="7">
        <v>45130.706422013885</v>
      </c>
      <c r="C673" s="7">
        <v>45130.706422013885</v>
      </c>
      <c r="D673" s="8">
        <v>45130.706422013885</v>
      </c>
      <c r="E673" s="9" t="s">
        <v>131</v>
      </c>
      <c r="F673" s="9" t="s">
        <v>8</v>
      </c>
      <c r="G673" s="9" t="s">
        <v>6</v>
      </c>
      <c r="H673" s="9" t="s">
        <v>26</v>
      </c>
      <c r="I673" s="9">
        <v>1</v>
      </c>
      <c r="J673" s="9">
        <v>661</v>
      </c>
      <c r="K673" s="10">
        <v>661</v>
      </c>
      <c r="L673" s="9">
        <f>HOUR([1]restaurant_sales_1200!$B673)</f>
        <v>16</v>
      </c>
      <c r="M673" s="9" t="str">
        <f t="shared" si="2"/>
        <v>Friday</v>
      </c>
    </row>
    <row r="674" spans="1:13" x14ac:dyDescent="0.25">
      <c r="A674" s="6">
        <v>1673</v>
      </c>
      <c r="B674" s="7">
        <v>45131.010008344907</v>
      </c>
      <c r="C674" s="7">
        <v>45131.010008344907</v>
      </c>
      <c r="D674" s="8">
        <v>45131.010008344907</v>
      </c>
      <c r="E674" s="9" t="s">
        <v>11</v>
      </c>
      <c r="F674" s="9" t="s">
        <v>8</v>
      </c>
      <c r="G674" s="9" t="s">
        <v>6</v>
      </c>
      <c r="H674" s="9" t="s">
        <v>31</v>
      </c>
      <c r="I674" s="9">
        <v>5</v>
      </c>
      <c r="J674" s="9">
        <v>788</v>
      </c>
      <c r="K674" s="10">
        <v>3940</v>
      </c>
      <c r="L674" s="9">
        <f>HOUR([1]restaurant_sales_1200!$B674)</f>
        <v>0</v>
      </c>
      <c r="M674" s="9" t="str">
        <f t="shared" si="2"/>
        <v>Saturday</v>
      </c>
    </row>
    <row r="675" spans="1:13" x14ac:dyDescent="0.25">
      <c r="A675" s="6">
        <v>1674</v>
      </c>
      <c r="B675" s="7">
        <v>45131.313594664352</v>
      </c>
      <c r="C675" s="7">
        <v>45131.313594664352</v>
      </c>
      <c r="D675" s="8">
        <v>45131.313594664352</v>
      </c>
      <c r="E675" s="9" t="s">
        <v>21</v>
      </c>
      <c r="F675" s="9" t="s">
        <v>5</v>
      </c>
      <c r="G675" s="9" t="s">
        <v>30</v>
      </c>
      <c r="H675" s="9" t="s">
        <v>3</v>
      </c>
      <c r="I675" s="9">
        <v>4</v>
      </c>
      <c r="J675" s="9">
        <v>707</v>
      </c>
      <c r="K675" s="10">
        <v>2828</v>
      </c>
      <c r="L675" s="9">
        <f>HOUR([1]restaurant_sales_1200!$B675)</f>
        <v>7</v>
      </c>
      <c r="M675" s="9" t="str">
        <f t="shared" si="2"/>
        <v>Sunday</v>
      </c>
    </row>
    <row r="676" spans="1:13" x14ac:dyDescent="0.25">
      <c r="A676" s="6">
        <v>1675</v>
      </c>
      <c r="B676" s="7">
        <v>45131.617180983798</v>
      </c>
      <c r="C676" s="7">
        <v>45131.617180983798</v>
      </c>
      <c r="D676" s="8">
        <v>45131.617180983798</v>
      </c>
      <c r="E676" s="9" t="s">
        <v>40</v>
      </c>
      <c r="F676" s="9" t="s">
        <v>5</v>
      </c>
      <c r="G676" s="9" t="s">
        <v>9</v>
      </c>
      <c r="H676" s="9" t="s">
        <v>16</v>
      </c>
      <c r="I676" s="9">
        <v>1</v>
      </c>
      <c r="J676" s="9">
        <v>716</v>
      </c>
      <c r="K676" s="10">
        <v>716</v>
      </c>
      <c r="L676" s="9">
        <f>HOUR([1]restaurant_sales_1200!$B676)</f>
        <v>14</v>
      </c>
      <c r="M676" s="9" t="str">
        <f t="shared" si="2"/>
        <v>Monday</v>
      </c>
    </row>
    <row r="677" spans="1:13" x14ac:dyDescent="0.25">
      <c r="A677" s="6">
        <v>1676</v>
      </c>
      <c r="B677" s="7">
        <v>45131.920767303243</v>
      </c>
      <c r="C677" s="7">
        <v>45131.920767303243</v>
      </c>
      <c r="D677" s="8">
        <v>45131.920767303243</v>
      </c>
      <c r="E677" s="9" t="s">
        <v>266</v>
      </c>
      <c r="F677" s="9" t="s">
        <v>19</v>
      </c>
      <c r="G677" s="9" t="s">
        <v>6</v>
      </c>
      <c r="H677" s="9" t="s">
        <v>10</v>
      </c>
      <c r="I677" s="9">
        <v>5</v>
      </c>
      <c r="J677" s="9">
        <v>519</v>
      </c>
      <c r="K677" s="10">
        <v>2595</v>
      </c>
      <c r="L677" s="9">
        <f>HOUR([1]restaurant_sales_1200!$B677)</f>
        <v>22</v>
      </c>
      <c r="M677" s="9" t="str">
        <f t="shared" si="2"/>
        <v>Tuesday</v>
      </c>
    </row>
    <row r="678" spans="1:13" x14ac:dyDescent="0.25">
      <c r="A678" s="6">
        <v>1677</v>
      </c>
      <c r="B678" s="7">
        <v>45132.224353622689</v>
      </c>
      <c r="C678" s="7">
        <v>45132.224353622689</v>
      </c>
      <c r="D678" s="8">
        <v>45132.224353622689</v>
      </c>
      <c r="E678" s="9" t="s">
        <v>164</v>
      </c>
      <c r="F678" s="9" t="s">
        <v>19</v>
      </c>
      <c r="G678" s="9" t="s">
        <v>9</v>
      </c>
      <c r="H678" s="9" t="s">
        <v>10</v>
      </c>
      <c r="I678" s="9">
        <v>5</v>
      </c>
      <c r="J678" s="9">
        <v>349</v>
      </c>
      <c r="K678" s="10">
        <v>1745</v>
      </c>
      <c r="L678" s="9">
        <f>HOUR([1]restaurant_sales_1200!$B678)</f>
        <v>5</v>
      </c>
      <c r="M678" s="9" t="str">
        <f t="shared" si="2"/>
        <v>Wednesday</v>
      </c>
    </row>
    <row r="679" spans="1:13" x14ac:dyDescent="0.25">
      <c r="A679" s="6">
        <v>1678</v>
      </c>
      <c r="B679" s="7">
        <v>45132.527939953703</v>
      </c>
      <c r="C679" s="7">
        <v>45132.527939953703</v>
      </c>
      <c r="D679" s="8">
        <v>45132.527939953703</v>
      </c>
      <c r="E679" s="9" t="s">
        <v>262</v>
      </c>
      <c r="F679" s="9" t="s">
        <v>5</v>
      </c>
      <c r="G679" s="9" t="s">
        <v>6</v>
      </c>
      <c r="H679" s="9" t="s">
        <v>33</v>
      </c>
      <c r="I679" s="9">
        <v>3</v>
      </c>
      <c r="J679" s="9">
        <v>216</v>
      </c>
      <c r="K679" s="10">
        <v>648</v>
      </c>
      <c r="L679" s="9">
        <f>HOUR([1]restaurant_sales_1200!$B679)</f>
        <v>12</v>
      </c>
      <c r="M679" s="9" t="str">
        <f t="shared" si="2"/>
        <v>Thursday</v>
      </c>
    </row>
    <row r="680" spans="1:13" x14ac:dyDescent="0.25">
      <c r="A680" s="6">
        <v>1679</v>
      </c>
      <c r="B680" s="7">
        <v>45132.831526273148</v>
      </c>
      <c r="C680" s="7">
        <v>45132.831526273148</v>
      </c>
      <c r="D680" s="8">
        <v>45132.831526273148</v>
      </c>
      <c r="E680" s="9" t="s">
        <v>196</v>
      </c>
      <c r="F680" s="9" t="s">
        <v>8</v>
      </c>
      <c r="G680" s="9" t="s">
        <v>2</v>
      </c>
      <c r="H680" s="9" t="s">
        <v>16</v>
      </c>
      <c r="I680" s="9">
        <v>5</v>
      </c>
      <c r="J680" s="9">
        <v>965</v>
      </c>
      <c r="K680" s="10">
        <v>4825</v>
      </c>
      <c r="L680" s="9">
        <f>HOUR([1]restaurant_sales_1200!$B680)</f>
        <v>19</v>
      </c>
      <c r="M680" s="9" t="str">
        <f t="shared" si="2"/>
        <v>Friday</v>
      </c>
    </row>
    <row r="681" spans="1:13" x14ac:dyDescent="0.25">
      <c r="A681" s="6">
        <v>1680</v>
      </c>
      <c r="B681" s="7">
        <v>45133.135112592594</v>
      </c>
      <c r="C681" s="7">
        <v>45133.135112592594</v>
      </c>
      <c r="D681" s="8">
        <v>45133.135112592594</v>
      </c>
      <c r="E681" s="9" t="s">
        <v>48</v>
      </c>
      <c r="F681" s="9" t="s">
        <v>19</v>
      </c>
      <c r="G681" s="9" t="s">
        <v>2</v>
      </c>
      <c r="H681" s="9" t="s">
        <v>47</v>
      </c>
      <c r="I681" s="9">
        <v>5</v>
      </c>
      <c r="J681" s="9">
        <v>611</v>
      </c>
      <c r="K681" s="10">
        <v>3055</v>
      </c>
      <c r="L681" s="9">
        <f>HOUR([1]restaurant_sales_1200!$B681)</f>
        <v>3</v>
      </c>
      <c r="M681" s="9" t="str">
        <f t="shared" si="2"/>
        <v>Saturday</v>
      </c>
    </row>
    <row r="682" spans="1:13" x14ac:dyDescent="0.25">
      <c r="A682" s="6">
        <v>1681</v>
      </c>
      <c r="B682" s="7">
        <v>45133.438698912039</v>
      </c>
      <c r="C682" s="7">
        <v>45133.438698912039</v>
      </c>
      <c r="D682" s="8">
        <v>45133.438698912039</v>
      </c>
      <c r="E682" s="9" t="s">
        <v>46</v>
      </c>
      <c r="F682" s="9" t="s">
        <v>19</v>
      </c>
      <c r="G682" s="9" t="s">
        <v>15</v>
      </c>
      <c r="H682" s="9" t="s">
        <v>24</v>
      </c>
      <c r="I682" s="9">
        <v>5</v>
      </c>
      <c r="J682" s="9">
        <v>839</v>
      </c>
      <c r="K682" s="10">
        <v>4195</v>
      </c>
      <c r="L682" s="9">
        <f>HOUR([1]restaurant_sales_1200!$B682)</f>
        <v>10</v>
      </c>
      <c r="M682" s="9" t="str">
        <f t="shared" si="2"/>
        <v>Sunday</v>
      </c>
    </row>
    <row r="683" spans="1:13" x14ac:dyDescent="0.25">
      <c r="A683" s="6">
        <v>1682</v>
      </c>
      <c r="B683" s="7">
        <v>45133.742285243054</v>
      </c>
      <c r="C683" s="7">
        <v>45133.742285243054</v>
      </c>
      <c r="D683" s="8">
        <v>45133.742285243054</v>
      </c>
      <c r="E683" s="9" t="s">
        <v>234</v>
      </c>
      <c r="F683" s="9" t="s">
        <v>8</v>
      </c>
      <c r="G683" s="9" t="s">
        <v>2</v>
      </c>
      <c r="H683" s="9" t="s">
        <v>20</v>
      </c>
      <c r="I683" s="9">
        <v>5</v>
      </c>
      <c r="J683" s="9">
        <v>677</v>
      </c>
      <c r="K683" s="10">
        <v>3385</v>
      </c>
      <c r="L683" s="9">
        <f>HOUR([1]restaurant_sales_1200!$B683)</f>
        <v>17</v>
      </c>
      <c r="M683" s="9" t="str">
        <f t="shared" si="2"/>
        <v>Monday</v>
      </c>
    </row>
    <row r="684" spans="1:13" x14ac:dyDescent="0.25">
      <c r="A684" s="6">
        <v>1683</v>
      </c>
      <c r="B684" s="7">
        <v>45134.045871562499</v>
      </c>
      <c r="C684" s="7">
        <v>45134.045871562499</v>
      </c>
      <c r="D684" s="8">
        <v>45134.045871562499</v>
      </c>
      <c r="E684" s="9" t="s">
        <v>258</v>
      </c>
      <c r="F684" s="9" t="s">
        <v>19</v>
      </c>
      <c r="G684" s="9" t="s">
        <v>9</v>
      </c>
      <c r="H684" s="9" t="s">
        <v>47</v>
      </c>
      <c r="I684" s="9">
        <v>2</v>
      </c>
      <c r="J684" s="9">
        <v>434</v>
      </c>
      <c r="K684" s="10">
        <v>868</v>
      </c>
      <c r="L684" s="9">
        <f>HOUR([1]restaurant_sales_1200!$B684)</f>
        <v>1</v>
      </c>
      <c r="M684" s="9" t="str">
        <f t="shared" si="2"/>
        <v>Tuesday</v>
      </c>
    </row>
    <row r="685" spans="1:13" x14ac:dyDescent="0.25">
      <c r="A685" s="6">
        <v>1684</v>
      </c>
      <c r="B685" s="7">
        <v>45134.349457881945</v>
      </c>
      <c r="C685" s="7">
        <v>45134.349457881945</v>
      </c>
      <c r="D685" s="8">
        <v>45134.349457881945</v>
      </c>
      <c r="E685" s="9" t="s">
        <v>82</v>
      </c>
      <c r="F685" s="9" t="s">
        <v>8</v>
      </c>
      <c r="G685" s="9" t="s">
        <v>30</v>
      </c>
      <c r="H685" s="9" t="s">
        <v>10</v>
      </c>
      <c r="I685" s="9">
        <v>2</v>
      </c>
      <c r="J685" s="9">
        <v>517</v>
      </c>
      <c r="K685" s="10">
        <v>1034</v>
      </c>
      <c r="L685" s="9">
        <f>HOUR([1]restaurant_sales_1200!$B685)</f>
        <v>8</v>
      </c>
      <c r="M685" s="9" t="str">
        <f t="shared" si="2"/>
        <v>Wednesday</v>
      </c>
    </row>
    <row r="686" spans="1:13" x14ac:dyDescent="0.25">
      <c r="A686" s="6">
        <v>1685</v>
      </c>
      <c r="B686" s="7">
        <v>45134.65304420139</v>
      </c>
      <c r="C686" s="7">
        <v>45134.65304420139</v>
      </c>
      <c r="D686" s="8">
        <v>45134.65304420139</v>
      </c>
      <c r="E686" s="9" t="s">
        <v>176</v>
      </c>
      <c r="F686" s="9" t="s">
        <v>1</v>
      </c>
      <c r="G686" s="9" t="s">
        <v>15</v>
      </c>
      <c r="H686" s="9" t="s">
        <v>24</v>
      </c>
      <c r="I686" s="9">
        <v>3</v>
      </c>
      <c r="J686" s="9">
        <v>873</v>
      </c>
      <c r="K686" s="10">
        <v>2619</v>
      </c>
      <c r="L686" s="9">
        <f>HOUR([1]restaurant_sales_1200!$B686)</f>
        <v>15</v>
      </c>
      <c r="M686" s="9" t="str">
        <f t="shared" si="2"/>
        <v>Thursday</v>
      </c>
    </row>
    <row r="687" spans="1:13" x14ac:dyDescent="0.25">
      <c r="A687" s="6">
        <v>1686</v>
      </c>
      <c r="B687" s="7">
        <v>45134.956630520835</v>
      </c>
      <c r="C687" s="7">
        <v>45134.956630520835</v>
      </c>
      <c r="D687" s="8">
        <v>45134.956630520835</v>
      </c>
      <c r="E687" s="9" t="s">
        <v>186</v>
      </c>
      <c r="F687" s="9" t="s">
        <v>19</v>
      </c>
      <c r="G687" s="9" t="s">
        <v>6</v>
      </c>
      <c r="H687" s="9" t="s">
        <v>3</v>
      </c>
      <c r="I687" s="9">
        <v>1</v>
      </c>
      <c r="J687" s="9">
        <v>394</v>
      </c>
      <c r="K687" s="10">
        <v>394</v>
      </c>
      <c r="L687" s="9">
        <f>HOUR([1]restaurant_sales_1200!$B687)</f>
        <v>22</v>
      </c>
      <c r="M687" s="9" t="str">
        <f t="shared" si="2"/>
        <v>Friday</v>
      </c>
    </row>
    <row r="688" spans="1:13" x14ac:dyDescent="0.25">
      <c r="A688" s="6">
        <v>1687</v>
      </c>
      <c r="B688" s="7">
        <v>45135.26021685185</v>
      </c>
      <c r="C688" s="7">
        <v>45135.26021685185</v>
      </c>
      <c r="D688" s="8">
        <v>45135.26021685185</v>
      </c>
      <c r="E688" s="9" t="s">
        <v>89</v>
      </c>
      <c r="F688" s="9" t="s">
        <v>19</v>
      </c>
      <c r="G688" s="9" t="s">
        <v>2</v>
      </c>
      <c r="H688" s="9" t="s">
        <v>47</v>
      </c>
      <c r="I688" s="9">
        <v>5</v>
      </c>
      <c r="J688" s="9">
        <v>854</v>
      </c>
      <c r="K688" s="10">
        <v>4270</v>
      </c>
      <c r="L688" s="9">
        <f>HOUR([1]restaurant_sales_1200!$B688)</f>
        <v>6</v>
      </c>
      <c r="M688" s="9" t="str">
        <f t="shared" si="2"/>
        <v>Saturday</v>
      </c>
    </row>
    <row r="689" spans="1:13" x14ac:dyDescent="0.25">
      <c r="A689" s="6">
        <v>1688</v>
      </c>
      <c r="B689" s="7">
        <v>45135.563803171295</v>
      </c>
      <c r="C689" s="7">
        <v>45135.563803171295</v>
      </c>
      <c r="D689" s="8">
        <v>45135.563803171295</v>
      </c>
      <c r="E689" s="9" t="s">
        <v>73</v>
      </c>
      <c r="F689" s="9" t="s">
        <v>1</v>
      </c>
      <c r="G689" s="9" t="s">
        <v>15</v>
      </c>
      <c r="H689" s="9" t="s">
        <v>3</v>
      </c>
      <c r="I689" s="9">
        <v>1</v>
      </c>
      <c r="J689" s="9">
        <v>470</v>
      </c>
      <c r="K689" s="10">
        <v>470</v>
      </c>
      <c r="L689" s="9">
        <f>HOUR([1]restaurant_sales_1200!$B689)</f>
        <v>13</v>
      </c>
      <c r="M689" s="9" t="str">
        <f t="shared" si="2"/>
        <v>Sunday</v>
      </c>
    </row>
    <row r="690" spans="1:13" x14ac:dyDescent="0.25">
      <c r="A690" s="6">
        <v>1689</v>
      </c>
      <c r="B690" s="7">
        <v>45135.867389490741</v>
      </c>
      <c r="C690" s="7">
        <v>45135.867389490741</v>
      </c>
      <c r="D690" s="8">
        <v>45135.867389490741</v>
      </c>
      <c r="E690" s="9" t="s">
        <v>267</v>
      </c>
      <c r="F690" s="9" t="s">
        <v>8</v>
      </c>
      <c r="G690" s="9" t="s">
        <v>2</v>
      </c>
      <c r="H690" s="9" t="s">
        <v>13</v>
      </c>
      <c r="I690" s="9">
        <v>1</v>
      </c>
      <c r="J690" s="9">
        <v>285</v>
      </c>
      <c r="K690" s="10">
        <v>285</v>
      </c>
      <c r="L690" s="9">
        <f>HOUR([1]restaurant_sales_1200!$B690)</f>
        <v>20</v>
      </c>
      <c r="M690" s="9" t="str">
        <f t="shared" si="2"/>
        <v>Monday</v>
      </c>
    </row>
    <row r="691" spans="1:13" x14ac:dyDescent="0.25">
      <c r="A691" s="6">
        <v>1690</v>
      </c>
      <c r="B691" s="7">
        <v>45136.170975810186</v>
      </c>
      <c r="C691" s="7">
        <v>45136.170975810186</v>
      </c>
      <c r="D691" s="8">
        <v>45136.170975810186</v>
      </c>
      <c r="E691" s="9" t="s">
        <v>43</v>
      </c>
      <c r="F691" s="9" t="s">
        <v>19</v>
      </c>
      <c r="G691" s="9" t="s">
        <v>15</v>
      </c>
      <c r="H691" s="9" t="s">
        <v>33</v>
      </c>
      <c r="I691" s="9">
        <v>3</v>
      </c>
      <c r="J691" s="9">
        <v>345</v>
      </c>
      <c r="K691" s="10">
        <v>1035</v>
      </c>
      <c r="L691" s="9">
        <f>HOUR([1]restaurant_sales_1200!$B691)</f>
        <v>4</v>
      </c>
      <c r="M691" s="9" t="str">
        <f t="shared" si="2"/>
        <v>Tuesday</v>
      </c>
    </row>
    <row r="692" spans="1:13" x14ac:dyDescent="0.25">
      <c r="A692" s="6">
        <v>1691</v>
      </c>
      <c r="B692" s="7">
        <v>45136.474562129632</v>
      </c>
      <c r="C692" s="7">
        <v>45136.474562129632</v>
      </c>
      <c r="D692" s="8">
        <v>45136.474562129632</v>
      </c>
      <c r="E692" s="9" t="s">
        <v>287</v>
      </c>
      <c r="F692" s="9" t="s">
        <v>1</v>
      </c>
      <c r="G692" s="9" t="s">
        <v>9</v>
      </c>
      <c r="H692" s="9" t="s">
        <v>24</v>
      </c>
      <c r="I692" s="9">
        <v>5</v>
      </c>
      <c r="J692" s="9">
        <v>736</v>
      </c>
      <c r="K692" s="10">
        <v>3680</v>
      </c>
      <c r="L692" s="9">
        <f>HOUR([1]restaurant_sales_1200!$B692)</f>
        <v>11</v>
      </c>
      <c r="M692" s="9" t="str">
        <f t="shared" si="2"/>
        <v>Wednesday</v>
      </c>
    </row>
    <row r="693" spans="1:13" x14ac:dyDescent="0.25">
      <c r="A693" s="6">
        <v>1692</v>
      </c>
      <c r="B693" s="7">
        <v>45136.778148460646</v>
      </c>
      <c r="C693" s="7">
        <v>45136.778148460646</v>
      </c>
      <c r="D693" s="8">
        <v>45136.778148460646</v>
      </c>
      <c r="E693" s="9" t="s">
        <v>217</v>
      </c>
      <c r="F693" s="9" t="s">
        <v>8</v>
      </c>
      <c r="G693" s="9" t="s">
        <v>9</v>
      </c>
      <c r="H693" s="9" t="s">
        <v>24</v>
      </c>
      <c r="I693" s="9">
        <v>5</v>
      </c>
      <c r="J693" s="9">
        <v>367</v>
      </c>
      <c r="K693" s="10">
        <v>1835</v>
      </c>
      <c r="L693" s="9">
        <f>HOUR([1]restaurant_sales_1200!$B693)</f>
        <v>18</v>
      </c>
      <c r="M693" s="9" t="str">
        <f t="shared" si="2"/>
        <v>Thursday</v>
      </c>
    </row>
    <row r="694" spans="1:13" x14ac:dyDescent="0.25">
      <c r="A694" s="6">
        <v>1693</v>
      </c>
      <c r="B694" s="7">
        <v>45137.081734780091</v>
      </c>
      <c r="C694" s="7">
        <v>45137.081734780091</v>
      </c>
      <c r="D694" s="8">
        <v>45137.081734780091</v>
      </c>
      <c r="E694" s="9" t="s">
        <v>185</v>
      </c>
      <c r="F694" s="9" t="s">
        <v>19</v>
      </c>
      <c r="G694" s="9" t="s">
        <v>6</v>
      </c>
      <c r="H694" s="9" t="s">
        <v>47</v>
      </c>
      <c r="I694" s="9">
        <v>4</v>
      </c>
      <c r="J694" s="9">
        <v>742</v>
      </c>
      <c r="K694" s="10">
        <v>2968</v>
      </c>
      <c r="L694" s="9">
        <f>HOUR([1]restaurant_sales_1200!$B694)</f>
        <v>1</v>
      </c>
      <c r="M694" s="9" t="str">
        <f t="shared" si="2"/>
        <v>Friday</v>
      </c>
    </row>
    <row r="695" spans="1:13" x14ac:dyDescent="0.25">
      <c r="A695" s="6">
        <v>1694</v>
      </c>
      <c r="B695" s="7">
        <v>45137.385321099537</v>
      </c>
      <c r="C695" s="7">
        <v>45137.385321099537</v>
      </c>
      <c r="D695" s="8">
        <v>45137.385321099537</v>
      </c>
      <c r="E695" s="9" t="s">
        <v>116</v>
      </c>
      <c r="F695" s="9" t="s">
        <v>5</v>
      </c>
      <c r="G695" s="9" t="s">
        <v>15</v>
      </c>
      <c r="H695" s="9" t="s">
        <v>31</v>
      </c>
      <c r="I695" s="9">
        <v>1</v>
      </c>
      <c r="J695" s="9">
        <v>336</v>
      </c>
      <c r="K695" s="10">
        <v>336</v>
      </c>
      <c r="L695" s="9">
        <f>HOUR([1]restaurant_sales_1200!$B695)</f>
        <v>9</v>
      </c>
      <c r="M695" s="9" t="str">
        <f t="shared" si="2"/>
        <v>Saturday</v>
      </c>
    </row>
    <row r="696" spans="1:13" x14ac:dyDescent="0.25">
      <c r="A696" s="6">
        <v>1695</v>
      </c>
      <c r="B696" s="7">
        <v>45137.688907418982</v>
      </c>
      <c r="C696" s="7">
        <v>45137.688907418982</v>
      </c>
      <c r="D696" s="8">
        <v>45137.688907418982</v>
      </c>
      <c r="E696" s="9" t="s">
        <v>149</v>
      </c>
      <c r="F696" s="9" t="s">
        <v>1</v>
      </c>
      <c r="G696" s="9" t="s">
        <v>30</v>
      </c>
      <c r="H696" s="9" t="s">
        <v>33</v>
      </c>
      <c r="I696" s="9">
        <v>1</v>
      </c>
      <c r="J696" s="9">
        <v>629</v>
      </c>
      <c r="K696" s="10">
        <v>629</v>
      </c>
      <c r="L696" s="9">
        <f>HOUR([1]restaurant_sales_1200!$B696)</f>
        <v>16</v>
      </c>
      <c r="M696" s="9" t="str">
        <f t="shared" si="2"/>
        <v>Sunday</v>
      </c>
    </row>
    <row r="697" spans="1:13" x14ac:dyDescent="0.25">
      <c r="A697" s="6">
        <v>1696</v>
      </c>
      <c r="B697" s="7">
        <v>45137.992493750004</v>
      </c>
      <c r="C697" s="7">
        <v>45137.992493750004</v>
      </c>
      <c r="D697" s="8">
        <v>45137.992493750004</v>
      </c>
      <c r="E697" s="9" t="s">
        <v>166</v>
      </c>
      <c r="F697" s="9" t="s">
        <v>8</v>
      </c>
      <c r="G697" s="9" t="s">
        <v>9</v>
      </c>
      <c r="H697" s="9" t="s">
        <v>33</v>
      </c>
      <c r="I697" s="9">
        <v>2</v>
      </c>
      <c r="J697" s="9">
        <v>651</v>
      </c>
      <c r="K697" s="10">
        <v>1302</v>
      </c>
      <c r="L697" s="9">
        <f>HOUR([1]restaurant_sales_1200!$B697)</f>
        <v>23</v>
      </c>
      <c r="M697" s="9" t="str">
        <f t="shared" si="2"/>
        <v>Monday</v>
      </c>
    </row>
    <row r="698" spans="1:13" x14ac:dyDescent="0.25">
      <c r="A698" s="6">
        <v>1697</v>
      </c>
      <c r="B698" s="7">
        <v>45138.296080069442</v>
      </c>
      <c r="C698" s="7">
        <v>45138.296080069442</v>
      </c>
      <c r="D698" s="8">
        <v>45138.296080069442</v>
      </c>
      <c r="E698" s="9" t="s">
        <v>138</v>
      </c>
      <c r="F698" s="9" t="s">
        <v>5</v>
      </c>
      <c r="G698" s="9" t="s">
        <v>6</v>
      </c>
      <c r="H698" s="9" t="s">
        <v>26</v>
      </c>
      <c r="I698" s="9">
        <v>4</v>
      </c>
      <c r="J698" s="9">
        <v>120</v>
      </c>
      <c r="K698" s="10">
        <v>480</v>
      </c>
      <c r="L698" s="9">
        <f>HOUR([1]restaurant_sales_1200!$B698)</f>
        <v>7</v>
      </c>
      <c r="M698" s="9" t="str">
        <f t="shared" si="2"/>
        <v>Tuesday</v>
      </c>
    </row>
    <row r="699" spans="1:13" x14ac:dyDescent="0.25">
      <c r="A699" s="6">
        <v>1698</v>
      </c>
      <c r="B699" s="7">
        <v>45138.599666388887</v>
      </c>
      <c r="C699" s="7">
        <v>45138.599666388887</v>
      </c>
      <c r="D699" s="8">
        <v>45138.599666388887</v>
      </c>
      <c r="E699" s="9" t="s">
        <v>137</v>
      </c>
      <c r="F699" s="9" t="s">
        <v>8</v>
      </c>
      <c r="G699" s="9" t="s">
        <v>15</v>
      </c>
      <c r="H699" s="9" t="s">
        <v>26</v>
      </c>
      <c r="I699" s="9">
        <v>2</v>
      </c>
      <c r="J699" s="9">
        <v>836</v>
      </c>
      <c r="K699" s="10">
        <v>1672</v>
      </c>
      <c r="L699" s="9">
        <f>HOUR([1]restaurant_sales_1200!$B699)</f>
        <v>14</v>
      </c>
      <c r="M699" s="9" t="str">
        <f t="shared" si="2"/>
        <v>Wednesday</v>
      </c>
    </row>
    <row r="700" spans="1:13" x14ac:dyDescent="0.25">
      <c r="A700" s="6">
        <v>1699</v>
      </c>
      <c r="B700" s="7">
        <v>45138.903252708333</v>
      </c>
      <c r="C700" s="7">
        <v>45138.903252708333</v>
      </c>
      <c r="D700" s="8">
        <v>45138.903252708333</v>
      </c>
      <c r="E700" s="9" t="s">
        <v>165</v>
      </c>
      <c r="F700" s="9" t="s">
        <v>5</v>
      </c>
      <c r="G700" s="9" t="s">
        <v>6</v>
      </c>
      <c r="H700" s="9" t="s">
        <v>10</v>
      </c>
      <c r="I700" s="9">
        <v>2</v>
      </c>
      <c r="J700" s="9">
        <v>966</v>
      </c>
      <c r="K700" s="10">
        <v>1932</v>
      </c>
      <c r="L700" s="9">
        <f>HOUR([1]restaurant_sales_1200!$B700)</f>
        <v>21</v>
      </c>
      <c r="M700" s="9" t="str">
        <f t="shared" si="2"/>
        <v>Thursday</v>
      </c>
    </row>
    <row r="701" spans="1:13" x14ac:dyDescent="0.25">
      <c r="A701" s="6">
        <v>1700</v>
      </c>
      <c r="B701" s="7">
        <v>45139.206839027778</v>
      </c>
      <c r="C701" s="7">
        <v>45139.206839027778</v>
      </c>
      <c r="D701" s="8">
        <v>45139.206839027778</v>
      </c>
      <c r="E701" s="9" t="s">
        <v>132</v>
      </c>
      <c r="F701" s="9" t="s">
        <v>5</v>
      </c>
      <c r="G701" s="9" t="s">
        <v>9</v>
      </c>
      <c r="H701" s="9" t="s">
        <v>24</v>
      </c>
      <c r="I701" s="9">
        <v>2</v>
      </c>
      <c r="J701" s="9">
        <v>893</v>
      </c>
      <c r="K701" s="10">
        <v>1786</v>
      </c>
      <c r="L701" s="9">
        <f>HOUR([1]restaurant_sales_1200!$B701)</f>
        <v>4</v>
      </c>
      <c r="M701" s="9" t="str">
        <f t="shared" si="2"/>
        <v>Friday</v>
      </c>
    </row>
    <row r="702" spans="1:13" x14ac:dyDescent="0.25">
      <c r="A702" s="6">
        <v>1701</v>
      </c>
      <c r="B702" s="7">
        <v>45139.5104253588</v>
      </c>
      <c r="C702" s="7">
        <v>45139.5104253588</v>
      </c>
      <c r="D702" s="8">
        <v>45139.5104253588</v>
      </c>
      <c r="E702" s="9" t="s">
        <v>185</v>
      </c>
      <c r="F702" s="9" t="s">
        <v>1</v>
      </c>
      <c r="G702" s="9" t="s">
        <v>6</v>
      </c>
      <c r="H702" s="9" t="s">
        <v>24</v>
      </c>
      <c r="I702" s="9">
        <v>3</v>
      </c>
      <c r="J702" s="9">
        <v>619</v>
      </c>
      <c r="K702" s="10">
        <v>1857</v>
      </c>
      <c r="L702" s="9">
        <f>HOUR([1]restaurant_sales_1200!$B702)</f>
        <v>12</v>
      </c>
      <c r="M702" s="9" t="str">
        <f t="shared" si="2"/>
        <v>Saturday</v>
      </c>
    </row>
    <row r="703" spans="1:13" x14ac:dyDescent="0.25">
      <c r="A703" s="6">
        <v>1702</v>
      </c>
      <c r="B703" s="7">
        <v>45139.814011678238</v>
      </c>
      <c r="C703" s="7">
        <v>45139.814011678238</v>
      </c>
      <c r="D703" s="8">
        <v>45139.814011678238</v>
      </c>
      <c r="E703" s="9" t="s">
        <v>137</v>
      </c>
      <c r="F703" s="9" t="s">
        <v>1</v>
      </c>
      <c r="G703" s="9" t="s">
        <v>15</v>
      </c>
      <c r="H703" s="9" t="s">
        <v>31</v>
      </c>
      <c r="I703" s="9">
        <v>3</v>
      </c>
      <c r="J703" s="9">
        <v>199</v>
      </c>
      <c r="K703" s="10">
        <v>597</v>
      </c>
      <c r="L703" s="9">
        <f>HOUR([1]restaurant_sales_1200!$B703)</f>
        <v>19</v>
      </c>
      <c r="M703" s="9" t="str">
        <f t="shared" si="2"/>
        <v>Sunday</v>
      </c>
    </row>
    <row r="704" spans="1:13" x14ac:dyDescent="0.25">
      <c r="A704" s="6">
        <v>1703</v>
      </c>
      <c r="B704" s="7">
        <v>45140.117597997683</v>
      </c>
      <c r="C704" s="7">
        <v>45140.117597997683</v>
      </c>
      <c r="D704" s="8">
        <v>45140.117597997683</v>
      </c>
      <c r="E704" s="9" t="s">
        <v>143</v>
      </c>
      <c r="F704" s="9" t="s">
        <v>5</v>
      </c>
      <c r="G704" s="9" t="s">
        <v>2</v>
      </c>
      <c r="H704" s="9" t="s">
        <v>3</v>
      </c>
      <c r="I704" s="9">
        <v>2</v>
      </c>
      <c r="J704" s="9">
        <v>851</v>
      </c>
      <c r="K704" s="10">
        <v>1702</v>
      </c>
      <c r="L704" s="9">
        <f>HOUR([1]restaurant_sales_1200!$B704)</f>
        <v>2</v>
      </c>
      <c r="M704" s="9" t="str">
        <f t="shared" si="2"/>
        <v>Monday</v>
      </c>
    </row>
    <row r="705" spans="1:13" x14ac:dyDescent="0.25">
      <c r="A705" s="6">
        <v>1704</v>
      </c>
      <c r="B705" s="7">
        <v>45140.421184317129</v>
      </c>
      <c r="C705" s="7">
        <v>45140.421184317129</v>
      </c>
      <c r="D705" s="8">
        <v>45140.421184317129</v>
      </c>
      <c r="E705" s="9" t="s">
        <v>288</v>
      </c>
      <c r="F705" s="9" t="s">
        <v>1</v>
      </c>
      <c r="G705" s="9" t="s">
        <v>30</v>
      </c>
      <c r="H705" s="9" t="s">
        <v>20</v>
      </c>
      <c r="I705" s="9">
        <v>4</v>
      </c>
      <c r="J705" s="9">
        <v>577</v>
      </c>
      <c r="K705" s="10">
        <v>2308</v>
      </c>
      <c r="L705" s="9">
        <f>HOUR([1]restaurant_sales_1200!$B705)</f>
        <v>10</v>
      </c>
      <c r="M705" s="9" t="str">
        <f t="shared" si="2"/>
        <v>Tuesday</v>
      </c>
    </row>
    <row r="706" spans="1:13" x14ac:dyDescent="0.25">
      <c r="A706" s="6">
        <v>1705</v>
      </c>
      <c r="B706" s="7">
        <v>45140.724770636574</v>
      </c>
      <c r="C706" s="7">
        <v>45140.724770636574</v>
      </c>
      <c r="D706" s="8">
        <v>45140.724770636574</v>
      </c>
      <c r="E706" s="9" t="s">
        <v>39</v>
      </c>
      <c r="F706" s="9" t="s">
        <v>8</v>
      </c>
      <c r="G706" s="9" t="s">
        <v>9</v>
      </c>
      <c r="H706" s="9" t="s">
        <v>13</v>
      </c>
      <c r="I706" s="9">
        <v>1</v>
      </c>
      <c r="J706" s="9">
        <v>698</v>
      </c>
      <c r="K706" s="10">
        <v>698</v>
      </c>
      <c r="L706" s="9">
        <f>HOUR([1]restaurant_sales_1200!$B706)</f>
        <v>17</v>
      </c>
      <c r="M706" s="9" t="str">
        <f t="shared" si="2"/>
        <v>Wednesday</v>
      </c>
    </row>
    <row r="707" spans="1:13" x14ac:dyDescent="0.25">
      <c r="A707" s="6">
        <v>1706</v>
      </c>
      <c r="B707" s="7">
        <v>45141.028356967596</v>
      </c>
      <c r="C707" s="7">
        <v>45141.028356967596</v>
      </c>
      <c r="D707" s="8">
        <v>45141.028356967596</v>
      </c>
      <c r="E707" s="9" t="s">
        <v>289</v>
      </c>
      <c r="F707" s="9" t="s">
        <v>19</v>
      </c>
      <c r="G707" s="9" t="s">
        <v>15</v>
      </c>
      <c r="H707" s="9" t="s">
        <v>20</v>
      </c>
      <c r="I707" s="9">
        <v>4</v>
      </c>
      <c r="J707" s="9">
        <v>397</v>
      </c>
      <c r="K707" s="10">
        <v>1588</v>
      </c>
      <c r="L707" s="9">
        <f>HOUR([1]restaurant_sales_1200!$B707)</f>
        <v>0</v>
      </c>
      <c r="M707" s="9" t="str">
        <f t="shared" si="2"/>
        <v>Thursday</v>
      </c>
    </row>
    <row r="708" spans="1:13" x14ac:dyDescent="0.25">
      <c r="A708" s="6">
        <v>1707</v>
      </c>
      <c r="B708" s="7">
        <v>45141.331943287034</v>
      </c>
      <c r="C708" s="7">
        <v>45141.331943287034</v>
      </c>
      <c r="D708" s="8">
        <v>45141.331943287034</v>
      </c>
      <c r="E708" s="9" t="s">
        <v>27</v>
      </c>
      <c r="F708" s="9" t="s">
        <v>8</v>
      </c>
      <c r="G708" s="9" t="s">
        <v>15</v>
      </c>
      <c r="H708" s="9" t="s">
        <v>10</v>
      </c>
      <c r="I708" s="9">
        <v>5</v>
      </c>
      <c r="J708" s="9">
        <v>625</v>
      </c>
      <c r="K708" s="10">
        <v>3125</v>
      </c>
      <c r="L708" s="9">
        <f>HOUR([1]restaurant_sales_1200!$B708)</f>
        <v>7</v>
      </c>
      <c r="M708" s="9" t="str">
        <f t="shared" si="2"/>
        <v>Friday</v>
      </c>
    </row>
    <row r="709" spans="1:13" x14ac:dyDescent="0.25">
      <c r="A709" s="6">
        <v>1708</v>
      </c>
      <c r="B709" s="7">
        <v>45141.635529606479</v>
      </c>
      <c r="C709" s="7">
        <v>45141.635529606479</v>
      </c>
      <c r="D709" s="8">
        <v>45141.635529606479</v>
      </c>
      <c r="E709" s="9" t="s">
        <v>60</v>
      </c>
      <c r="F709" s="9" t="s">
        <v>5</v>
      </c>
      <c r="G709" s="9" t="s">
        <v>6</v>
      </c>
      <c r="H709" s="9" t="s">
        <v>24</v>
      </c>
      <c r="I709" s="9">
        <v>3</v>
      </c>
      <c r="J709" s="9">
        <v>433</v>
      </c>
      <c r="K709" s="10">
        <v>1299</v>
      </c>
      <c r="L709" s="9">
        <f>HOUR([1]restaurant_sales_1200!$B709)</f>
        <v>15</v>
      </c>
      <c r="M709" s="9" t="str">
        <f t="shared" si="2"/>
        <v>Saturday</v>
      </c>
    </row>
    <row r="710" spans="1:13" x14ac:dyDescent="0.25">
      <c r="A710" s="6">
        <v>1709</v>
      </c>
      <c r="B710" s="7">
        <v>45141.939115925925</v>
      </c>
      <c r="C710" s="7">
        <v>45141.939115925925</v>
      </c>
      <c r="D710" s="8">
        <v>45141.939115925925</v>
      </c>
      <c r="E710" s="9" t="s">
        <v>230</v>
      </c>
      <c r="F710" s="9" t="s">
        <v>8</v>
      </c>
      <c r="G710" s="9" t="s">
        <v>9</v>
      </c>
      <c r="H710" s="9" t="s">
        <v>47</v>
      </c>
      <c r="I710" s="9">
        <v>1</v>
      </c>
      <c r="J710" s="9">
        <v>101</v>
      </c>
      <c r="K710" s="10">
        <v>101</v>
      </c>
      <c r="L710" s="9">
        <f>HOUR([1]restaurant_sales_1200!$B710)</f>
        <v>22</v>
      </c>
      <c r="M710" s="9" t="str">
        <f t="shared" si="2"/>
        <v>Sunday</v>
      </c>
    </row>
    <row r="711" spans="1:13" x14ac:dyDescent="0.25">
      <c r="A711" s="6">
        <v>1710</v>
      </c>
      <c r="B711" s="7">
        <v>45142.242702256946</v>
      </c>
      <c r="C711" s="7">
        <v>45142.242702256946</v>
      </c>
      <c r="D711" s="8">
        <v>45142.242702256946</v>
      </c>
      <c r="E711" s="9" t="s">
        <v>246</v>
      </c>
      <c r="F711" s="9" t="s">
        <v>5</v>
      </c>
      <c r="G711" s="9" t="s">
        <v>2</v>
      </c>
      <c r="H711" s="9" t="s">
        <v>47</v>
      </c>
      <c r="I711" s="9">
        <v>1</v>
      </c>
      <c r="J711" s="9">
        <v>474</v>
      </c>
      <c r="K711" s="10">
        <v>474</v>
      </c>
      <c r="L711" s="9">
        <f>HOUR([1]restaurant_sales_1200!$B711)</f>
        <v>5</v>
      </c>
      <c r="M711" s="9" t="str">
        <f t="shared" si="2"/>
        <v>Monday</v>
      </c>
    </row>
    <row r="712" spans="1:13" x14ac:dyDescent="0.25">
      <c r="A712" s="6">
        <v>1711</v>
      </c>
      <c r="B712" s="7">
        <v>45142.546288576392</v>
      </c>
      <c r="C712" s="7">
        <v>45142.546288576392</v>
      </c>
      <c r="D712" s="8">
        <v>45142.546288576392</v>
      </c>
      <c r="E712" s="9" t="s">
        <v>164</v>
      </c>
      <c r="F712" s="9" t="s">
        <v>8</v>
      </c>
      <c r="G712" s="9" t="s">
        <v>2</v>
      </c>
      <c r="H712" s="9" t="s">
        <v>47</v>
      </c>
      <c r="I712" s="9">
        <v>5</v>
      </c>
      <c r="J712" s="9">
        <v>392</v>
      </c>
      <c r="K712" s="10">
        <v>1960</v>
      </c>
      <c r="L712" s="9">
        <f>HOUR([1]restaurant_sales_1200!$B712)</f>
        <v>13</v>
      </c>
      <c r="M712" s="9" t="str">
        <f t="shared" si="2"/>
        <v>Tuesday</v>
      </c>
    </row>
    <row r="713" spans="1:13" x14ac:dyDescent="0.25">
      <c r="A713" s="6">
        <v>1712</v>
      </c>
      <c r="B713" s="7">
        <v>45142.84987489583</v>
      </c>
      <c r="C713" s="7">
        <v>45142.84987489583</v>
      </c>
      <c r="D713" s="8">
        <v>45142.84987489583</v>
      </c>
      <c r="E713" s="9" t="s">
        <v>232</v>
      </c>
      <c r="F713" s="9" t="s">
        <v>8</v>
      </c>
      <c r="G713" s="9" t="s">
        <v>30</v>
      </c>
      <c r="H713" s="9" t="s">
        <v>20</v>
      </c>
      <c r="I713" s="9">
        <v>5</v>
      </c>
      <c r="J713" s="9">
        <v>936</v>
      </c>
      <c r="K713" s="10">
        <v>4680</v>
      </c>
      <c r="L713" s="9">
        <f>HOUR([1]restaurant_sales_1200!$B713)</f>
        <v>20</v>
      </c>
      <c r="M713" s="9" t="str">
        <f t="shared" si="2"/>
        <v>Wednesday</v>
      </c>
    </row>
    <row r="714" spans="1:13" x14ac:dyDescent="0.25">
      <c r="A714" s="6">
        <v>1713</v>
      </c>
      <c r="B714" s="7">
        <v>45143.153461215275</v>
      </c>
      <c r="C714" s="7">
        <v>45143.153461215275</v>
      </c>
      <c r="D714" s="8">
        <v>45143.153461215275</v>
      </c>
      <c r="E714" s="9" t="s">
        <v>235</v>
      </c>
      <c r="F714" s="9" t="s">
        <v>1</v>
      </c>
      <c r="G714" s="9" t="s">
        <v>30</v>
      </c>
      <c r="H714" s="9" t="s">
        <v>26</v>
      </c>
      <c r="I714" s="9">
        <v>2</v>
      </c>
      <c r="J714" s="9">
        <v>652</v>
      </c>
      <c r="K714" s="10">
        <v>1304</v>
      </c>
      <c r="L714" s="9">
        <f>HOUR([1]restaurant_sales_1200!$B714)</f>
        <v>3</v>
      </c>
      <c r="M714" s="9" t="str">
        <f t="shared" si="2"/>
        <v>Thursday</v>
      </c>
    </row>
    <row r="715" spans="1:13" x14ac:dyDescent="0.25">
      <c r="A715" s="6">
        <v>1714</v>
      </c>
      <c r="B715" s="7">
        <v>45143.457047534721</v>
      </c>
      <c r="C715" s="7">
        <v>45143.457047534721</v>
      </c>
      <c r="D715" s="8">
        <v>45143.457047534721</v>
      </c>
      <c r="E715" s="9" t="s">
        <v>280</v>
      </c>
      <c r="F715" s="9" t="s">
        <v>5</v>
      </c>
      <c r="G715" s="9" t="s">
        <v>6</v>
      </c>
      <c r="H715" s="9" t="s">
        <v>3</v>
      </c>
      <c r="I715" s="9">
        <v>3</v>
      </c>
      <c r="J715" s="9">
        <v>417</v>
      </c>
      <c r="K715" s="10">
        <v>1251</v>
      </c>
      <c r="L715" s="9">
        <f>HOUR([1]restaurant_sales_1200!$B715)</f>
        <v>10</v>
      </c>
      <c r="M715" s="9" t="str">
        <f t="shared" si="2"/>
        <v>Friday</v>
      </c>
    </row>
    <row r="716" spans="1:13" x14ac:dyDescent="0.25">
      <c r="A716" s="6">
        <v>1715</v>
      </c>
      <c r="B716" s="7">
        <v>45143.760633865742</v>
      </c>
      <c r="C716" s="7">
        <v>45143.760633865742</v>
      </c>
      <c r="D716" s="8">
        <v>45143.760633865742</v>
      </c>
      <c r="E716" s="9" t="s">
        <v>163</v>
      </c>
      <c r="F716" s="9" t="s">
        <v>5</v>
      </c>
      <c r="G716" s="9" t="s">
        <v>9</v>
      </c>
      <c r="H716" s="9" t="s">
        <v>20</v>
      </c>
      <c r="I716" s="9">
        <v>3</v>
      </c>
      <c r="J716" s="9">
        <v>601</v>
      </c>
      <c r="K716" s="10">
        <v>1803</v>
      </c>
      <c r="L716" s="9">
        <f>HOUR([1]restaurant_sales_1200!$B716)</f>
        <v>18</v>
      </c>
      <c r="M716" s="9" t="str">
        <f t="shared" si="2"/>
        <v>Saturday</v>
      </c>
    </row>
    <row r="717" spans="1:13" x14ac:dyDescent="0.25">
      <c r="A717" s="6">
        <v>1716</v>
      </c>
      <c r="B717" s="7">
        <v>45144.064220185188</v>
      </c>
      <c r="C717" s="7">
        <v>45144.064220185188</v>
      </c>
      <c r="D717" s="8">
        <v>45144.064220185188</v>
      </c>
      <c r="E717" s="9" t="s">
        <v>115</v>
      </c>
      <c r="F717" s="9" t="s">
        <v>19</v>
      </c>
      <c r="G717" s="9" t="s">
        <v>2</v>
      </c>
      <c r="H717" s="9" t="s">
        <v>31</v>
      </c>
      <c r="I717" s="9">
        <v>4</v>
      </c>
      <c r="J717" s="9">
        <v>927</v>
      </c>
      <c r="K717" s="10">
        <v>3708</v>
      </c>
      <c r="L717" s="9">
        <f>HOUR([1]restaurant_sales_1200!$B717)</f>
        <v>1</v>
      </c>
      <c r="M717" s="9" t="str">
        <f t="shared" si="2"/>
        <v>Sunday</v>
      </c>
    </row>
    <row r="718" spans="1:13" x14ac:dyDescent="0.25">
      <c r="A718" s="6">
        <v>1717</v>
      </c>
      <c r="B718" s="7">
        <v>45144.367806504626</v>
      </c>
      <c r="C718" s="7">
        <v>45144.367806504626</v>
      </c>
      <c r="D718" s="8">
        <v>45144.367806504626</v>
      </c>
      <c r="E718" s="9" t="s">
        <v>129</v>
      </c>
      <c r="F718" s="9" t="s">
        <v>8</v>
      </c>
      <c r="G718" s="9" t="s">
        <v>9</v>
      </c>
      <c r="H718" s="9" t="s">
        <v>47</v>
      </c>
      <c r="I718" s="9">
        <v>2</v>
      </c>
      <c r="J718" s="9">
        <v>480</v>
      </c>
      <c r="K718" s="10">
        <v>960</v>
      </c>
      <c r="L718" s="9">
        <f>HOUR([1]restaurant_sales_1200!$B718)</f>
        <v>8</v>
      </c>
      <c r="M718" s="9" t="str">
        <f t="shared" si="2"/>
        <v>Monday</v>
      </c>
    </row>
    <row r="719" spans="1:13" x14ac:dyDescent="0.25">
      <c r="A719" s="6">
        <v>1718</v>
      </c>
      <c r="B719" s="7">
        <v>45144.671392824072</v>
      </c>
      <c r="C719" s="7">
        <v>45144.671392824072</v>
      </c>
      <c r="D719" s="8">
        <v>45144.671392824072</v>
      </c>
      <c r="E719" s="9" t="s">
        <v>51</v>
      </c>
      <c r="F719" s="9" t="s">
        <v>8</v>
      </c>
      <c r="G719" s="9" t="s">
        <v>6</v>
      </c>
      <c r="H719" s="9" t="s">
        <v>26</v>
      </c>
      <c r="I719" s="9">
        <v>2</v>
      </c>
      <c r="J719" s="9">
        <v>722</v>
      </c>
      <c r="K719" s="10">
        <v>1444</v>
      </c>
      <c r="L719" s="9">
        <f>HOUR([1]restaurant_sales_1200!$B719)</f>
        <v>16</v>
      </c>
      <c r="M719" s="9" t="str">
        <f t="shared" si="2"/>
        <v>Tuesday</v>
      </c>
    </row>
    <row r="720" spans="1:13" x14ac:dyDescent="0.25">
      <c r="A720" s="6">
        <v>1719</v>
      </c>
      <c r="B720" s="7">
        <v>45144.974979143517</v>
      </c>
      <c r="C720" s="7">
        <v>45144.974979143517</v>
      </c>
      <c r="D720" s="8">
        <v>45144.974979143517</v>
      </c>
      <c r="E720" s="9" t="s">
        <v>260</v>
      </c>
      <c r="F720" s="9" t="s">
        <v>19</v>
      </c>
      <c r="G720" s="9" t="s">
        <v>9</v>
      </c>
      <c r="H720" s="9" t="s">
        <v>33</v>
      </c>
      <c r="I720" s="9">
        <v>2</v>
      </c>
      <c r="J720" s="9">
        <v>113</v>
      </c>
      <c r="K720" s="10">
        <v>226</v>
      </c>
      <c r="L720" s="9">
        <f>HOUR([1]restaurant_sales_1200!$B720)</f>
        <v>23</v>
      </c>
      <c r="M720" s="9" t="str">
        <f t="shared" si="2"/>
        <v>Wednesday</v>
      </c>
    </row>
    <row r="721" spans="1:13" x14ac:dyDescent="0.25">
      <c r="A721" s="6">
        <v>1720</v>
      </c>
      <c r="B721" s="7">
        <v>45145.278565474538</v>
      </c>
      <c r="C721" s="7">
        <v>45145.278565474538</v>
      </c>
      <c r="D721" s="8">
        <v>45145.278565474538</v>
      </c>
      <c r="E721" s="9" t="s">
        <v>144</v>
      </c>
      <c r="F721" s="9" t="s">
        <v>5</v>
      </c>
      <c r="G721" s="9" t="s">
        <v>9</v>
      </c>
      <c r="H721" s="9" t="s">
        <v>24</v>
      </c>
      <c r="I721" s="9">
        <v>2</v>
      </c>
      <c r="J721" s="9">
        <v>603</v>
      </c>
      <c r="K721" s="10">
        <v>1206</v>
      </c>
      <c r="L721" s="9">
        <f>HOUR([1]restaurant_sales_1200!$B721)</f>
        <v>6</v>
      </c>
      <c r="M721" s="9" t="str">
        <f t="shared" si="2"/>
        <v>Thursday</v>
      </c>
    </row>
    <row r="722" spans="1:13" x14ac:dyDescent="0.25">
      <c r="A722" s="6">
        <v>1721</v>
      </c>
      <c r="B722" s="7">
        <v>45145.582151793984</v>
      </c>
      <c r="C722" s="7">
        <v>45145.582151793984</v>
      </c>
      <c r="D722" s="8">
        <v>45145.582151793984</v>
      </c>
      <c r="E722" s="9" t="s">
        <v>157</v>
      </c>
      <c r="F722" s="9" t="s">
        <v>8</v>
      </c>
      <c r="G722" s="9" t="s">
        <v>9</v>
      </c>
      <c r="H722" s="9" t="s">
        <v>16</v>
      </c>
      <c r="I722" s="9">
        <v>3</v>
      </c>
      <c r="J722" s="9">
        <v>330</v>
      </c>
      <c r="K722" s="10">
        <v>990</v>
      </c>
      <c r="L722" s="9">
        <f>HOUR([1]restaurant_sales_1200!$B722)</f>
        <v>13</v>
      </c>
      <c r="M722" s="9" t="str">
        <f t="shared" si="2"/>
        <v>Friday</v>
      </c>
    </row>
    <row r="723" spans="1:13" x14ac:dyDescent="0.25">
      <c r="A723" s="6">
        <v>1722</v>
      </c>
      <c r="B723" s="7">
        <v>45145.885738113429</v>
      </c>
      <c r="C723" s="7">
        <v>45145.885738113429</v>
      </c>
      <c r="D723" s="8">
        <v>45145.885738113429</v>
      </c>
      <c r="E723" s="9" t="s">
        <v>274</v>
      </c>
      <c r="F723" s="9" t="s">
        <v>19</v>
      </c>
      <c r="G723" s="9" t="s">
        <v>6</v>
      </c>
      <c r="H723" s="9" t="s">
        <v>24</v>
      </c>
      <c r="I723" s="9">
        <v>3</v>
      </c>
      <c r="J723" s="9">
        <v>183</v>
      </c>
      <c r="K723" s="10">
        <v>549</v>
      </c>
      <c r="L723" s="9">
        <f>HOUR([1]restaurant_sales_1200!$B723)</f>
        <v>21</v>
      </c>
      <c r="M723" s="9" t="str">
        <f t="shared" si="2"/>
        <v>Saturday</v>
      </c>
    </row>
    <row r="724" spans="1:13" x14ac:dyDescent="0.25">
      <c r="A724" s="6">
        <v>1723</v>
      </c>
      <c r="B724" s="7">
        <v>45146.189324432868</v>
      </c>
      <c r="C724" s="7">
        <v>45146.189324432868</v>
      </c>
      <c r="D724" s="8">
        <v>45146.189324432868</v>
      </c>
      <c r="E724" s="9" t="s">
        <v>69</v>
      </c>
      <c r="F724" s="9" t="s">
        <v>19</v>
      </c>
      <c r="G724" s="9" t="s">
        <v>6</v>
      </c>
      <c r="H724" s="9" t="s">
        <v>31</v>
      </c>
      <c r="I724" s="9">
        <v>2</v>
      </c>
      <c r="J724" s="9">
        <v>229</v>
      </c>
      <c r="K724" s="10">
        <v>458</v>
      </c>
      <c r="L724" s="9">
        <f>HOUR([1]restaurant_sales_1200!$B724)</f>
        <v>4</v>
      </c>
      <c r="M724" s="9" t="str">
        <f t="shared" si="2"/>
        <v>Sunday</v>
      </c>
    </row>
    <row r="725" spans="1:13" x14ac:dyDescent="0.25">
      <c r="A725" s="6">
        <v>1724</v>
      </c>
      <c r="B725" s="7">
        <v>45146.492910763889</v>
      </c>
      <c r="C725" s="7">
        <v>45146.492910763889</v>
      </c>
      <c r="D725" s="8">
        <v>45146.492910763889</v>
      </c>
      <c r="E725" s="9" t="s">
        <v>80</v>
      </c>
      <c r="F725" s="9" t="s">
        <v>19</v>
      </c>
      <c r="G725" s="9" t="s">
        <v>6</v>
      </c>
      <c r="H725" s="9" t="s">
        <v>3</v>
      </c>
      <c r="I725" s="9">
        <v>4</v>
      </c>
      <c r="J725" s="9">
        <v>842</v>
      </c>
      <c r="K725" s="10">
        <v>3368</v>
      </c>
      <c r="L725" s="9">
        <f>HOUR([1]restaurant_sales_1200!$B725)</f>
        <v>11</v>
      </c>
      <c r="M725" s="9" t="str">
        <f t="shared" si="2"/>
        <v>Monday</v>
      </c>
    </row>
    <row r="726" spans="1:13" x14ac:dyDescent="0.25">
      <c r="A726" s="6">
        <v>1725</v>
      </c>
      <c r="B726" s="7">
        <v>45146.796497083335</v>
      </c>
      <c r="C726" s="7">
        <v>45146.796497083335</v>
      </c>
      <c r="D726" s="8">
        <v>45146.796497083335</v>
      </c>
      <c r="E726" s="9" t="s">
        <v>232</v>
      </c>
      <c r="F726" s="9" t="s">
        <v>8</v>
      </c>
      <c r="G726" s="9" t="s">
        <v>2</v>
      </c>
      <c r="H726" s="9" t="s">
        <v>31</v>
      </c>
      <c r="I726" s="9">
        <v>1</v>
      </c>
      <c r="J726" s="9">
        <v>937</v>
      </c>
      <c r="K726" s="10">
        <v>937</v>
      </c>
      <c r="L726" s="9">
        <f>HOUR([1]restaurant_sales_1200!$B726)</f>
        <v>19</v>
      </c>
      <c r="M726" s="9" t="str">
        <f t="shared" si="2"/>
        <v>Tuesday</v>
      </c>
    </row>
    <row r="727" spans="1:13" x14ac:dyDescent="0.25">
      <c r="A727" s="6">
        <v>1726</v>
      </c>
      <c r="B727" s="7">
        <v>45147.10008340278</v>
      </c>
      <c r="C727" s="7">
        <v>45147.10008340278</v>
      </c>
      <c r="D727" s="8">
        <v>45147.10008340278</v>
      </c>
      <c r="E727" s="9" t="s">
        <v>114</v>
      </c>
      <c r="F727" s="9" t="s">
        <v>5</v>
      </c>
      <c r="G727" s="9" t="s">
        <v>15</v>
      </c>
      <c r="H727" s="9" t="s">
        <v>3</v>
      </c>
      <c r="I727" s="9">
        <v>1</v>
      </c>
      <c r="J727" s="9">
        <v>244</v>
      </c>
      <c r="K727" s="10">
        <v>244</v>
      </c>
      <c r="L727" s="9">
        <f>HOUR([1]restaurant_sales_1200!$B727)</f>
        <v>2</v>
      </c>
      <c r="M727" s="9" t="str">
        <f t="shared" si="2"/>
        <v>Wednesday</v>
      </c>
    </row>
    <row r="728" spans="1:13" x14ac:dyDescent="0.25">
      <c r="A728" s="6">
        <v>1727</v>
      </c>
      <c r="B728" s="7">
        <v>45147.403669722225</v>
      </c>
      <c r="C728" s="7">
        <v>45147.403669722225</v>
      </c>
      <c r="D728" s="8">
        <v>45147.403669722225</v>
      </c>
      <c r="E728" s="9" t="s">
        <v>272</v>
      </c>
      <c r="F728" s="9" t="s">
        <v>5</v>
      </c>
      <c r="G728" s="9" t="s">
        <v>9</v>
      </c>
      <c r="H728" s="9" t="s">
        <v>31</v>
      </c>
      <c r="I728" s="9">
        <v>4</v>
      </c>
      <c r="J728" s="9">
        <v>990</v>
      </c>
      <c r="K728" s="10">
        <v>3960</v>
      </c>
      <c r="L728" s="9">
        <f>HOUR([1]restaurant_sales_1200!$B728)</f>
        <v>9</v>
      </c>
      <c r="M728" s="9" t="str">
        <f t="shared" si="2"/>
        <v>Thursday</v>
      </c>
    </row>
    <row r="729" spans="1:13" x14ac:dyDescent="0.25">
      <c r="A729" s="6">
        <v>1728</v>
      </c>
      <c r="B729" s="7">
        <v>45147.707256041664</v>
      </c>
      <c r="C729" s="7">
        <v>45147.707256041664</v>
      </c>
      <c r="D729" s="8">
        <v>45147.707256041664</v>
      </c>
      <c r="E729" s="9" t="s">
        <v>151</v>
      </c>
      <c r="F729" s="9" t="s">
        <v>19</v>
      </c>
      <c r="G729" s="9" t="s">
        <v>30</v>
      </c>
      <c r="H729" s="9" t="s">
        <v>20</v>
      </c>
      <c r="I729" s="9">
        <v>2</v>
      </c>
      <c r="J729" s="9">
        <v>956</v>
      </c>
      <c r="K729" s="10">
        <v>1912</v>
      </c>
      <c r="L729" s="9">
        <f>HOUR([1]restaurant_sales_1200!$B729)</f>
        <v>16</v>
      </c>
      <c r="M729" s="9" t="str">
        <f t="shared" si="2"/>
        <v>Friday</v>
      </c>
    </row>
    <row r="730" spans="1:13" x14ac:dyDescent="0.25">
      <c r="A730" s="6">
        <v>1729</v>
      </c>
      <c r="B730" s="7">
        <v>45148.010842372685</v>
      </c>
      <c r="C730" s="7">
        <v>45148.010842372685</v>
      </c>
      <c r="D730" s="8">
        <v>45148.010842372685</v>
      </c>
      <c r="E730" s="9" t="s">
        <v>63</v>
      </c>
      <c r="F730" s="9" t="s">
        <v>19</v>
      </c>
      <c r="G730" s="9" t="s">
        <v>30</v>
      </c>
      <c r="H730" s="9" t="s">
        <v>26</v>
      </c>
      <c r="I730" s="9">
        <v>3</v>
      </c>
      <c r="J730" s="9">
        <v>127</v>
      </c>
      <c r="K730" s="10">
        <v>381</v>
      </c>
      <c r="L730" s="9">
        <f>HOUR([1]restaurant_sales_1200!$B730)</f>
        <v>0</v>
      </c>
      <c r="M730" s="9" t="str">
        <f t="shared" si="2"/>
        <v>Saturday</v>
      </c>
    </row>
    <row r="731" spans="1:13" x14ac:dyDescent="0.25">
      <c r="A731" s="6">
        <v>1730</v>
      </c>
      <c r="B731" s="7">
        <v>45148.314428692131</v>
      </c>
      <c r="C731" s="7">
        <v>45148.314428692131</v>
      </c>
      <c r="D731" s="8">
        <v>45148.314428692131</v>
      </c>
      <c r="E731" s="9" t="s">
        <v>85</v>
      </c>
      <c r="F731" s="9" t="s">
        <v>5</v>
      </c>
      <c r="G731" s="9" t="s">
        <v>15</v>
      </c>
      <c r="H731" s="9" t="s">
        <v>16</v>
      </c>
      <c r="I731" s="9">
        <v>1</v>
      </c>
      <c r="J731" s="9">
        <v>165</v>
      </c>
      <c r="K731" s="10">
        <v>165</v>
      </c>
      <c r="L731" s="9">
        <f>HOUR([1]restaurant_sales_1200!$B731)</f>
        <v>7</v>
      </c>
      <c r="M731" s="9" t="str">
        <f t="shared" si="2"/>
        <v>Sunday</v>
      </c>
    </row>
    <row r="732" spans="1:13" x14ac:dyDescent="0.25">
      <c r="A732" s="6">
        <v>1731</v>
      </c>
      <c r="B732" s="7">
        <v>45148.618015011576</v>
      </c>
      <c r="C732" s="7">
        <v>45148.618015011576</v>
      </c>
      <c r="D732" s="8">
        <v>45148.618015011576</v>
      </c>
      <c r="E732" s="9" t="s">
        <v>151</v>
      </c>
      <c r="F732" s="9" t="s">
        <v>19</v>
      </c>
      <c r="G732" s="9" t="s">
        <v>9</v>
      </c>
      <c r="H732" s="9" t="s">
        <v>13</v>
      </c>
      <c r="I732" s="9">
        <v>5</v>
      </c>
      <c r="J732" s="9">
        <v>262</v>
      </c>
      <c r="K732" s="10">
        <v>1310</v>
      </c>
      <c r="L732" s="9">
        <f>HOUR([1]restaurant_sales_1200!$B732)</f>
        <v>14</v>
      </c>
      <c r="M732" s="9" t="str">
        <f t="shared" si="2"/>
        <v>Monday</v>
      </c>
    </row>
    <row r="733" spans="1:13" x14ac:dyDescent="0.25">
      <c r="A733" s="6">
        <v>1732</v>
      </c>
      <c r="B733" s="7">
        <v>45148.921601331022</v>
      </c>
      <c r="C733" s="7">
        <v>45148.921601331022</v>
      </c>
      <c r="D733" s="8">
        <v>45148.921601331022</v>
      </c>
      <c r="E733" s="9" t="s">
        <v>55</v>
      </c>
      <c r="F733" s="9" t="s">
        <v>19</v>
      </c>
      <c r="G733" s="9" t="s">
        <v>9</v>
      </c>
      <c r="H733" s="9" t="s">
        <v>13</v>
      </c>
      <c r="I733" s="9">
        <v>5</v>
      </c>
      <c r="J733" s="9">
        <v>328</v>
      </c>
      <c r="K733" s="10">
        <v>1640</v>
      </c>
      <c r="L733" s="9">
        <f>HOUR([1]restaurant_sales_1200!$B733)</f>
        <v>22</v>
      </c>
      <c r="M733" s="9" t="str">
        <f t="shared" si="2"/>
        <v>Tuesday</v>
      </c>
    </row>
    <row r="734" spans="1:13" x14ac:dyDescent="0.25">
      <c r="A734" s="6">
        <v>1733</v>
      </c>
      <c r="B734" s="7">
        <v>45149.225187662036</v>
      </c>
      <c r="C734" s="7">
        <v>45149.225187662036</v>
      </c>
      <c r="D734" s="8">
        <v>45149.225187662036</v>
      </c>
      <c r="E734" s="9" t="s">
        <v>290</v>
      </c>
      <c r="F734" s="9" t="s">
        <v>5</v>
      </c>
      <c r="G734" s="9" t="s">
        <v>9</v>
      </c>
      <c r="H734" s="9" t="s">
        <v>47</v>
      </c>
      <c r="I734" s="9">
        <v>4</v>
      </c>
      <c r="J734" s="9">
        <v>360</v>
      </c>
      <c r="K734" s="10">
        <v>1440</v>
      </c>
      <c r="L734" s="9">
        <f>HOUR([1]restaurant_sales_1200!$B734)</f>
        <v>5</v>
      </c>
      <c r="M734" s="9" t="str">
        <f t="shared" si="2"/>
        <v>Wednesday</v>
      </c>
    </row>
    <row r="735" spans="1:13" x14ac:dyDescent="0.25">
      <c r="A735" s="6">
        <v>1734</v>
      </c>
      <c r="B735" s="7">
        <v>45149.528773981481</v>
      </c>
      <c r="C735" s="7">
        <v>45149.528773981481</v>
      </c>
      <c r="D735" s="8">
        <v>45149.528773981481</v>
      </c>
      <c r="E735" s="9" t="s">
        <v>63</v>
      </c>
      <c r="F735" s="9" t="s">
        <v>8</v>
      </c>
      <c r="G735" s="9" t="s">
        <v>6</v>
      </c>
      <c r="H735" s="9" t="s">
        <v>20</v>
      </c>
      <c r="I735" s="9">
        <v>2</v>
      </c>
      <c r="J735" s="9">
        <v>548</v>
      </c>
      <c r="K735" s="10">
        <v>1096</v>
      </c>
      <c r="L735" s="9">
        <f>HOUR([1]restaurant_sales_1200!$B735)</f>
        <v>12</v>
      </c>
      <c r="M735" s="9" t="str">
        <f t="shared" si="2"/>
        <v>Thursday</v>
      </c>
    </row>
    <row r="736" spans="1:13" x14ac:dyDescent="0.25">
      <c r="A736" s="6">
        <v>1735</v>
      </c>
      <c r="B736" s="7">
        <v>45149.832360300927</v>
      </c>
      <c r="C736" s="7">
        <v>45149.832360300927</v>
      </c>
      <c r="D736" s="8">
        <v>45149.832360300927</v>
      </c>
      <c r="E736" s="9" t="s">
        <v>45</v>
      </c>
      <c r="F736" s="9" t="s">
        <v>19</v>
      </c>
      <c r="G736" s="9" t="s">
        <v>2</v>
      </c>
      <c r="H736" s="9" t="s">
        <v>31</v>
      </c>
      <c r="I736" s="9">
        <v>1</v>
      </c>
      <c r="J736" s="9">
        <v>523</v>
      </c>
      <c r="K736" s="10">
        <v>523</v>
      </c>
      <c r="L736" s="9">
        <f>HOUR([1]restaurant_sales_1200!$B736)</f>
        <v>19</v>
      </c>
      <c r="M736" s="9" t="str">
        <f t="shared" si="2"/>
        <v>Friday</v>
      </c>
    </row>
    <row r="737" spans="1:13" x14ac:dyDescent="0.25">
      <c r="A737" s="6">
        <v>1736</v>
      </c>
      <c r="B737" s="7">
        <v>45150.135946620372</v>
      </c>
      <c r="C737" s="7">
        <v>45150.135946620372</v>
      </c>
      <c r="D737" s="8">
        <v>45150.135946620372</v>
      </c>
      <c r="E737" s="9" t="s">
        <v>286</v>
      </c>
      <c r="F737" s="9" t="s">
        <v>8</v>
      </c>
      <c r="G737" s="9" t="s">
        <v>6</v>
      </c>
      <c r="H737" s="9" t="s">
        <v>3</v>
      </c>
      <c r="I737" s="9">
        <v>2</v>
      </c>
      <c r="J737" s="9">
        <v>559</v>
      </c>
      <c r="K737" s="10">
        <v>1118</v>
      </c>
      <c r="L737" s="9">
        <f>HOUR([1]restaurant_sales_1200!$B737)</f>
        <v>3</v>
      </c>
      <c r="M737" s="9" t="str">
        <f t="shared" si="2"/>
        <v>Saturday</v>
      </c>
    </row>
    <row r="738" spans="1:13" x14ac:dyDescent="0.25">
      <c r="A738" s="6">
        <v>1737</v>
      </c>
      <c r="B738" s="7">
        <v>45150.439532939818</v>
      </c>
      <c r="C738" s="7">
        <v>45150.439532939818</v>
      </c>
      <c r="D738" s="8">
        <v>45150.439532939818</v>
      </c>
      <c r="E738" s="9" t="s">
        <v>217</v>
      </c>
      <c r="F738" s="9" t="s">
        <v>19</v>
      </c>
      <c r="G738" s="9" t="s">
        <v>9</v>
      </c>
      <c r="H738" s="9" t="s">
        <v>26</v>
      </c>
      <c r="I738" s="9">
        <v>1</v>
      </c>
      <c r="J738" s="9">
        <v>775</v>
      </c>
      <c r="K738" s="10">
        <v>775</v>
      </c>
      <c r="L738" s="9">
        <f>HOUR([1]restaurant_sales_1200!$B738)</f>
        <v>10</v>
      </c>
      <c r="M738" s="9" t="str">
        <f t="shared" si="2"/>
        <v>Sunday</v>
      </c>
    </row>
    <row r="739" spans="1:13" x14ac:dyDescent="0.25">
      <c r="A739" s="6">
        <v>1738</v>
      </c>
      <c r="B739" s="7">
        <v>45150.743119270832</v>
      </c>
      <c r="C739" s="7">
        <v>45150.743119270832</v>
      </c>
      <c r="D739" s="8">
        <v>45150.743119270832</v>
      </c>
      <c r="E739" s="9" t="s">
        <v>291</v>
      </c>
      <c r="F739" s="9" t="s">
        <v>19</v>
      </c>
      <c r="G739" s="9" t="s">
        <v>15</v>
      </c>
      <c r="H739" s="9" t="s">
        <v>31</v>
      </c>
      <c r="I739" s="9">
        <v>4</v>
      </c>
      <c r="J739" s="9">
        <v>400</v>
      </c>
      <c r="K739" s="10">
        <v>1600</v>
      </c>
      <c r="L739" s="9">
        <f>HOUR([1]restaurant_sales_1200!$B739)</f>
        <v>17</v>
      </c>
      <c r="M739" s="9" t="str">
        <f t="shared" si="2"/>
        <v>Monday</v>
      </c>
    </row>
    <row r="740" spans="1:13" x14ac:dyDescent="0.25">
      <c r="A740" s="6">
        <v>1739</v>
      </c>
      <c r="B740" s="7">
        <v>45151.046705590277</v>
      </c>
      <c r="C740" s="7">
        <v>45151.046705590277</v>
      </c>
      <c r="D740" s="8">
        <v>45151.046705590277</v>
      </c>
      <c r="E740" s="9" t="s">
        <v>214</v>
      </c>
      <c r="F740" s="9" t="s">
        <v>19</v>
      </c>
      <c r="G740" s="9" t="s">
        <v>9</v>
      </c>
      <c r="H740" s="9" t="s">
        <v>20</v>
      </c>
      <c r="I740" s="9">
        <v>4</v>
      </c>
      <c r="J740" s="9">
        <v>402</v>
      </c>
      <c r="K740" s="10">
        <v>1608</v>
      </c>
      <c r="L740" s="9">
        <f>HOUR([1]restaurant_sales_1200!$B740)</f>
        <v>1</v>
      </c>
      <c r="M740" s="9" t="str">
        <f t="shared" si="2"/>
        <v>Tuesday</v>
      </c>
    </row>
    <row r="741" spans="1:13" x14ac:dyDescent="0.25">
      <c r="A741" s="6">
        <v>1740</v>
      </c>
      <c r="B741" s="7">
        <v>45151.350291909723</v>
      </c>
      <c r="C741" s="7">
        <v>45151.350291909723</v>
      </c>
      <c r="D741" s="8">
        <v>45151.350291909723</v>
      </c>
      <c r="E741" s="9" t="s">
        <v>68</v>
      </c>
      <c r="F741" s="9" t="s">
        <v>1</v>
      </c>
      <c r="G741" s="9" t="s">
        <v>9</v>
      </c>
      <c r="H741" s="9" t="s">
        <v>13</v>
      </c>
      <c r="I741" s="9">
        <v>5</v>
      </c>
      <c r="J741" s="9">
        <v>386</v>
      </c>
      <c r="K741" s="10">
        <v>1930</v>
      </c>
      <c r="L741" s="9">
        <f>HOUR([1]restaurant_sales_1200!$B741)</f>
        <v>8</v>
      </c>
      <c r="M741" s="9" t="str">
        <f t="shared" si="2"/>
        <v>Wednesday</v>
      </c>
    </row>
    <row r="742" spans="1:13" x14ac:dyDescent="0.25">
      <c r="A742" s="6">
        <v>1741</v>
      </c>
      <c r="B742" s="7">
        <v>45151.653878229168</v>
      </c>
      <c r="C742" s="7">
        <v>45151.653878229168</v>
      </c>
      <c r="D742" s="8">
        <v>45151.653878229168</v>
      </c>
      <c r="E742" s="9" t="s">
        <v>256</v>
      </c>
      <c r="F742" s="9" t="s">
        <v>8</v>
      </c>
      <c r="G742" s="9" t="s">
        <v>2</v>
      </c>
      <c r="H742" s="9" t="s">
        <v>16</v>
      </c>
      <c r="I742" s="9">
        <v>2</v>
      </c>
      <c r="J742" s="9">
        <v>494</v>
      </c>
      <c r="K742" s="10">
        <v>988</v>
      </c>
      <c r="L742" s="9">
        <f>HOUR([1]restaurant_sales_1200!$B742)</f>
        <v>15</v>
      </c>
      <c r="M742" s="9" t="str">
        <f t="shared" si="2"/>
        <v>Thursday</v>
      </c>
    </row>
    <row r="743" spans="1:13" x14ac:dyDescent="0.25">
      <c r="A743" s="6">
        <v>1742</v>
      </c>
      <c r="B743" s="7">
        <v>45151.957464548614</v>
      </c>
      <c r="C743" s="7">
        <v>45151.957464548614</v>
      </c>
      <c r="D743" s="8">
        <v>45151.957464548614</v>
      </c>
      <c r="E743" s="9" t="s">
        <v>187</v>
      </c>
      <c r="F743" s="9" t="s">
        <v>8</v>
      </c>
      <c r="G743" s="9" t="s">
        <v>9</v>
      </c>
      <c r="H743" s="9" t="s">
        <v>16</v>
      </c>
      <c r="I743" s="9">
        <v>5</v>
      </c>
      <c r="J743" s="9">
        <v>109</v>
      </c>
      <c r="K743" s="10">
        <v>545</v>
      </c>
      <c r="L743" s="9">
        <f>HOUR([1]restaurant_sales_1200!$B743)</f>
        <v>22</v>
      </c>
      <c r="M743" s="9" t="str">
        <f t="shared" si="2"/>
        <v>Friday</v>
      </c>
    </row>
    <row r="744" spans="1:13" x14ac:dyDescent="0.25">
      <c r="A744" s="6">
        <v>1743</v>
      </c>
      <c r="B744" s="7">
        <v>45152.261050879628</v>
      </c>
      <c r="C744" s="7">
        <v>45152.261050879628</v>
      </c>
      <c r="D744" s="8">
        <v>45152.261050879628</v>
      </c>
      <c r="E744" s="9" t="s">
        <v>66</v>
      </c>
      <c r="F744" s="9" t="s">
        <v>19</v>
      </c>
      <c r="G744" s="9" t="s">
        <v>6</v>
      </c>
      <c r="H744" s="9" t="s">
        <v>13</v>
      </c>
      <c r="I744" s="9">
        <v>2</v>
      </c>
      <c r="J744" s="9">
        <v>806</v>
      </c>
      <c r="K744" s="10">
        <v>1612</v>
      </c>
      <c r="L744" s="9">
        <f>HOUR([1]restaurant_sales_1200!$B744)</f>
        <v>6</v>
      </c>
      <c r="M744" s="9" t="str">
        <f t="shared" si="2"/>
        <v>Saturday</v>
      </c>
    </row>
    <row r="745" spans="1:13" x14ac:dyDescent="0.25">
      <c r="A745" s="6">
        <v>1744</v>
      </c>
      <c r="B745" s="7">
        <v>45152.564637199073</v>
      </c>
      <c r="C745" s="7">
        <v>45152.564637199073</v>
      </c>
      <c r="D745" s="8">
        <v>45152.564637199073</v>
      </c>
      <c r="E745" s="9" t="s">
        <v>292</v>
      </c>
      <c r="F745" s="9" t="s">
        <v>5</v>
      </c>
      <c r="G745" s="9" t="s">
        <v>30</v>
      </c>
      <c r="H745" s="9" t="s">
        <v>26</v>
      </c>
      <c r="I745" s="9">
        <v>5</v>
      </c>
      <c r="J745" s="9">
        <v>729</v>
      </c>
      <c r="K745" s="10">
        <v>3645</v>
      </c>
      <c r="L745" s="9">
        <f>HOUR([1]restaurant_sales_1200!$B745)</f>
        <v>13</v>
      </c>
      <c r="M745" s="9" t="str">
        <f t="shared" si="2"/>
        <v>Sunday</v>
      </c>
    </row>
    <row r="746" spans="1:13" x14ac:dyDescent="0.25">
      <c r="A746" s="6">
        <v>1745</v>
      </c>
      <c r="B746" s="7">
        <v>45152.868223518519</v>
      </c>
      <c r="C746" s="7">
        <v>45152.868223518519</v>
      </c>
      <c r="D746" s="8">
        <v>45152.868223518519</v>
      </c>
      <c r="E746" s="9" t="s">
        <v>122</v>
      </c>
      <c r="F746" s="9" t="s">
        <v>19</v>
      </c>
      <c r="G746" s="9" t="s">
        <v>2</v>
      </c>
      <c r="H746" s="9" t="s">
        <v>3</v>
      </c>
      <c r="I746" s="9">
        <v>3</v>
      </c>
      <c r="J746" s="9">
        <v>369</v>
      </c>
      <c r="K746" s="10">
        <v>1107</v>
      </c>
      <c r="L746" s="9">
        <f>HOUR([1]restaurant_sales_1200!$B746)</f>
        <v>20</v>
      </c>
      <c r="M746" s="9" t="str">
        <f t="shared" si="2"/>
        <v>Monday</v>
      </c>
    </row>
    <row r="747" spans="1:13" x14ac:dyDescent="0.25">
      <c r="A747" s="6">
        <v>1746</v>
      </c>
      <c r="B747" s="7">
        <v>45153.171809837964</v>
      </c>
      <c r="C747" s="7">
        <v>45153.171809837964</v>
      </c>
      <c r="D747" s="8">
        <v>45153.171809837964</v>
      </c>
      <c r="E747" s="9" t="s">
        <v>209</v>
      </c>
      <c r="F747" s="9" t="s">
        <v>1</v>
      </c>
      <c r="G747" s="9" t="s">
        <v>2</v>
      </c>
      <c r="H747" s="9" t="s">
        <v>26</v>
      </c>
      <c r="I747" s="9">
        <v>3</v>
      </c>
      <c r="J747" s="9">
        <v>691</v>
      </c>
      <c r="K747" s="10">
        <v>2073</v>
      </c>
      <c r="L747" s="9">
        <f>HOUR([1]restaurant_sales_1200!$B747)</f>
        <v>4</v>
      </c>
      <c r="M747" s="9" t="str">
        <f t="shared" si="2"/>
        <v>Tuesday</v>
      </c>
    </row>
    <row r="748" spans="1:13" x14ac:dyDescent="0.25">
      <c r="A748" s="6">
        <v>1747</v>
      </c>
      <c r="B748" s="7">
        <v>45153.475396168978</v>
      </c>
      <c r="C748" s="7">
        <v>45153.475396168978</v>
      </c>
      <c r="D748" s="8">
        <v>45153.475396168978</v>
      </c>
      <c r="E748" s="9" t="s">
        <v>180</v>
      </c>
      <c r="F748" s="9" t="s">
        <v>19</v>
      </c>
      <c r="G748" s="9" t="s">
        <v>2</v>
      </c>
      <c r="H748" s="9" t="s">
        <v>47</v>
      </c>
      <c r="I748" s="9">
        <v>3</v>
      </c>
      <c r="J748" s="9">
        <v>704</v>
      </c>
      <c r="K748" s="10">
        <v>2112</v>
      </c>
      <c r="L748" s="9">
        <f>HOUR([1]restaurant_sales_1200!$B748)</f>
        <v>11</v>
      </c>
      <c r="M748" s="9" t="str">
        <f t="shared" si="2"/>
        <v>Wednesday</v>
      </c>
    </row>
    <row r="749" spans="1:13" x14ac:dyDescent="0.25">
      <c r="A749" s="6">
        <v>1748</v>
      </c>
      <c r="B749" s="7">
        <v>45153.778982488424</v>
      </c>
      <c r="C749" s="7">
        <v>45153.778982488424</v>
      </c>
      <c r="D749" s="8">
        <v>45153.778982488424</v>
      </c>
      <c r="E749" s="9" t="s">
        <v>78</v>
      </c>
      <c r="F749" s="9" t="s">
        <v>1</v>
      </c>
      <c r="G749" s="9" t="s">
        <v>9</v>
      </c>
      <c r="H749" s="9" t="s">
        <v>26</v>
      </c>
      <c r="I749" s="9">
        <v>3</v>
      </c>
      <c r="J749" s="9">
        <v>877</v>
      </c>
      <c r="K749" s="10">
        <v>2631</v>
      </c>
      <c r="L749" s="9">
        <f>HOUR([1]restaurant_sales_1200!$B749)</f>
        <v>18</v>
      </c>
      <c r="M749" s="9" t="str">
        <f t="shared" si="2"/>
        <v>Thursday</v>
      </c>
    </row>
    <row r="750" spans="1:13" x14ac:dyDescent="0.25">
      <c r="A750" s="6">
        <v>1749</v>
      </c>
      <c r="B750" s="7">
        <v>45154.082568807869</v>
      </c>
      <c r="C750" s="7">
        <v>45154.082568807869</v>
      </c>
      <c r="D750" s="8">
        <v>45154.082568807869</v>
      </c>
      <c r="E750" s="9" t="s">
        <v>141</v>
      </c>
      <c r="F750" s="9" t="s">
        <v>19</v>
      </c>
      <c r="G750" s="9" t="s">
        <v>2</v>
      </c>
      <c r="H750" s="9" t="s">
        <v>26</v>
      </c>
      <c r="I750" s="9">
        <v>1</v>
      </c>
      <c r="J750" s="9">
        <v>943</v>
      </c>
      <c r="K750" s="10">
        <v>943</v>
      </c>
      <c r="L750" s="9">
        <f>HOUR([1]restaurant_sales_1200!$B750)</f>
        <v>1</v>
      </c>
      <c r="M750" s="9" t="str">
        <f t="shared" si="2"/>
        <v>Friday</v>
      </c>
    </row>
    <row r="751" spans="1:13" x14ac:dyDescent="0.25">
      <c r="A751" s="6">
        <v>1750</v>
      </c>
      <c r="B751" s="7">
        <v>45154.386155127315</v>
      </c>
      <c r="C751" s="7">
        <v>45154.386155127315</v>
      </c>
      <c r="D751" s="8">
        <v>45154.386155127315</v>
      </c>
      <c r="E751" s="9" t="s">
        <v>7</v>
      </c>
      <c r="F751" s="9" t="s">
        <v>8</v>
      </c>
      <c r="G751" s="9" t="s">
        <v>2</v>
      </c>
      <c r="H751" s="9" t="s">
        <v>13</v>
      </c>
      <c r="I751" s="9">
        <v>3</v>
      </c>
      <c r="J751" s="9">
        <v>961</v>
      </c>
      <c r="K751" s="10">
        <v>2883</v>
      </c>
      <c r="L751" s="9">
        <f>HOUR([1]restaurant_sales_1200!$B751)</f>
        <v>9</v>
      </c>
      <c r="M751" s="9" t="str">
        <f t="shared" si="2"/>
        <v>Saturday</v>
      </c>
    </row>
    <row r="752" spans="1:13" x14ac:dyDescent="0.25">
      <c r="A752" s="6">
        <v>1751</v>
      </c>
      <c r="B752" s="7">
        <v>45154.68974144676</v>
      </c>
      <c r="C752" s="7">
        <v>45154.68974144676</v>
      </c>
      <c r="D752" s="8">
        <v>45154.68974144676</v>
      </c>
      <c r="E752" s="9" t="s">
        <v>65</v>
      </c>
      <c r="F752" s="9" t="s">
        <v>19</v>
      </c>
      <c r="G752" s="9" t="s">
        <v>6</v>
      </c>
      <c r="H752" s="9" t="s">
        <v>13</v>
      </c>
      <c r="I752" s="9">
        <v>4</v>
      </c>
      <c r="J752" s="9">
        <v>460</v>
      </c>
      <c r="K752" s="10">
        <v>1840</v>
      </c>
      <c r="L752" s="9">
        <f>HOUR([1]restaurant_sales_1200!$B752)</f>
        <v>16</v>
      </c>
      <c r="M752" s="9" t="str">
        <f t="shared" si="2"/>
        <v>Sunday</v>
      </c>
    </row>
    <row r="753" spans="1:13" x14ac:dyDescent="0.25">
      <c r="A753" s="6">
        <v>1752</v>
      </c>
      <c r="B753" s="7">
        <v>45154.993327777775</v>
      </c>
      <c r="C753" s="7">
        <v>45154.993327777775</v>
      </c>
      <c r="D753" s="8">
        <v>45154.993327777775</v>
      </c>
      <c r="E753" s="9" t="s">
        <v>170</v>
      </c>
      <c r="F753" s="9" t="s">
        <v>8</v>
      </c>
      <c r="G753" s="9" t="s">
        <v>15</v>
      </c>
      <c r="H753" s="9" t="s">
        <v>10</v>
      </c>
      <c r="I753" s="9">
        <v>4</v>
      </c>
      <c r="J753" s="9">
        <v>356</v>
      </c>
      <c r="K753" s="10">
        <v>1424</v>
      </c>
      <c r="L753" s="9">
        <f>HOUR([1]restaurant_sales_1200!$B753)</f>
        <v>23</v>
      </c>
      <c r="M753" s="9" t="str">
        <f t="shared" si="2"/>
        <v>Monday</v>
      </c>
    </row>
    <row r="754" spans="1:13" x14ac:dyDescent="0.25">
      <c r="A754" s="6">
        <v>1753</v>
      </c>
      <c r="B754" s="7">
        <v>45155.29691409722</v>
      </c>
      <c r="C754" s="7">
        <v>45155.29691409722</v>
      </c>
      <c r="D754" s="8">
        <v>45155.29691409722</v>
      </c>
      <c r="E754" s="9" t="s">
        <v>115</v>
      </c>
      <c r="F754" s="9" t="s">
        <v>5</v>
      </c>
      <c r="G754" s="9" t="s">
        <v>6</v>
      </c>
      <c r="H754" s="9" t="s">
        <v>47</v>
      </c>
      <c r="I754" s="9">
        <v>1</v>
      </c>
      <c r="J754" s="9">
        <v>232</v>
      </c>
      <c r="K754" s="10">
        <v>232</v>
      </c>
      <c r="L754" s="9">
        <f>HOUR([1]restaurant_sales_1200!$B754)</f>
        <v>7</v>
      </c>
      <c r="M754" s="9" t="str">
        <f t="shared" si="2"/>
        <v>Tuesday</v>
      </c>
    </row>
    <row r="755" spans="1:13" x14ac:dyDescent="0.25">
      <c r="A755" s="6">
        <v>1754</v>
      </c>
      <c r="B755" s="7">
        <v>45155.600500416665</v>
      </c>
      <c r="C755" s="7">
        <v>45155.600500416665</v>
      </c>
      <c r="D755" s="8">
        <v>45155.600500416665</v>
      </c>
      <c r="E755" s="9" t="s">
        <v>293</v>
      </c>
      <c r="F755" s="9" t="s">
        <v>5</v>
      </c>
      <c r="G755" s="9" t="s">
        <v>6</v>
      </c>
      <c r="H755" s="9" t="s">
        <v>33</v>
      </c>
      <c r="I755" s="9">
        <v>3</v>
      </c>
      <c r="J755" s="9">
        <v>375</v>
      </c>
      <c r="K755" s="10">
        <v>1125</v>
      </c>
      <c r="L755" s="9">
        <f>HOUR([1]restaurant_sales_1200!$B755)</f>
        <v>14</v>
      </c>
      <c r="M755" s="9" t="str">
        <f t="shared" si="2"/>
        <v>Wednesday</v>
      </c>
    </row>
    <row r="756" spans="1:13" x14ac:dyDescent="0.25">
      <c r="A756" s="6">
        <v>1755</v>
      </c>
      <c r="B756" s="7">
        <v>45155.904086736111</v>
      </c>
      <c r="C756" s="7">
        <v>45155.904086736111</v>
      </c>
      <c r="D756" s="8">
        <v>45155.904086736111</v>
      </c>
      <c r="E756" s="9" t="s">
        <v>141</v>
      </c>
      <c r="F756" s="9" t="s">
        <v>19</v>
      </c>
      <c r="G756" s="9" t="s">
        <v>15</v>
      </c>
      <c r="H756" s="9" t="s">
        <v>13</v>
      </c>
      <c r="I756" s="9">
        <v>3</v>
      </c>
      <c r="J756" s="9">
        <v>875</v>
      </c>
      <c r="K756" s="10">
        <v>2625</v>
      </c>
      <c r="L756" s="9">
        <f>HOUR([1]restaurant_sales_1200!$B756)</f>
        <v>21</v>
      </c>
      <c r="M756" s="9" t="str">
        <f t="shared" si="2"/>
        <v>Thursday</v>
      </c>
    </row>
    <row r="757" spans="1:13" x14ac:dyDescent="0.25">
      <c r="A757" s="6">
        <v>1756</v>
      </c>
      <c r="B757" s="7">
        <v>45156.207673055556</v>
      </c>
      <c r="C757" s="7">
        <v>45156.207673055556</v>
      </c>
      <c r="D757" s="8">
        <v>45156.207673055556</v>
      </c>
      <c r="E757" s="9" t="s">
        <v>288</v>
      </c>
      <c r="F757" s="9" t="s">
        <v>19</v>
      </c>
      <c r="G757" s="9" t="s">
        <v>15</v>
      </c>
      <c r="H757" s="9" t="s">
        <v>20</v>
      </c>
      <c r="I757" s="9">
        <v>3</v>
      </c>
      <c r="J757" s="9">
        <v>782</v>
      </c>
      <c r="K757" s="10">
        <v>2346</v>
      </c>
      <c r="L757" s="9">
        <f>HOUR([1]restaurant_sales_1200!$B757)</f>
        <v>4</v>
      </c>
      <c r="M757" s="9" t="str">
        <f t="shared" si="2"/>
        <v>Friday</v>
      </c>
    </row>
    <row r="758" spans="1:13" x14ac:dyDescent="0.25">
      <c r="A758" s="6">
        <v>1757</v>
      </c>
      <c r="B758" s="7">
        <v>45156.511259386571</v>
      </c>
      <c r="C758" s="7">
        <v>45156.511259386571</v>
      </c>
      <c r="D758" s="8">
        <v>45156.511259386571</v>
      </c>
      <c r="E758" s="9" t="s">
        <v>17</v>
      </c>
      <c r="F758" s="9" t="s">
        <v>5</v>
      </c>
      <c r="G758" s="9" t="s">
        <v>2</v>
      </c>
      <c r="H758" s="9" t="s">
        <v>20</v>
      </c>
      <c r="I758" s="9">
        <v>5</v>
      </c>
      <c r="J758" s="9">
        <v>612</v>
      </c>
      <c r="K758" s="10">
        <v>3060</v>
      </c>
      <c r="L758" s="9">
        <f>HOUR([1]restaurant_sales_1200!$B758)</f>
        <v>12</v>
      </c>
      <c r="M758" s="9" t="str">
        <f t="shared" si="2"/>
        <v>Saturday</v>
      </c>
    </row>
    <row r="759" spans="1:13" x14ac:dyDescent="0.25">
      <c r="A759" s="6">
        <v>1758</v>
      </c>
      <c r="B759" s="7">
        <v>45156.814845706016</v>
      </c>
      <c r="C759" s="7">
        <v>45156.814845706016</v>
      </c>
      <c r="D759" s="8">
        <v>45156.814845706016</v>
      </c>
      <c r="E759" s="9" t="s">
        <v>284</v>
      </c>
      <c r="F759" s="9" t="s">
        <v>1</v>
      </c>
      <c r="G759" s="9" t="s">
        <v>6</v>
      </c>
      <c r="H759" s="9" t="s">
        <v>10</v>
      </c>
      <c r="I759" s="9">
        <v>2</v>
      </c>
      <c r="J759" s="9">
        <v>412</v>
      </c>
      <c r="K759" s="10">
        <v>824</v>
      </c>
      <c r="L759" s="9">
        <f>HOUR([1]restaurant_sales_1200!$B759)</f>
        <v>19</v>
      </c>
      <c r="M759" s="9" t="str">
        <f t="shared" si="2"/>
        <v>Sunday</v>
      </c>
    </row>
    <row r="760" spans="1:13" x14ac:dyDescent="0.25">
      <c r="A760" s="6">
        <v>1759</v>
      </c>
      <c r="B760" s="7">
        <v>45157.118432025462</v>
      </c>
      <c r="C760" s="7">
        <v>45157.118432025462</v>
      </c>
      <c r="D760" s="8">
        <v>45157.118432025462</v>
      </c>
      <c r="E760" s="9" t="s">
        <v>294</v>
      </c>
      <c r="F760" s="9" t="s">
        <v>5</v>
      </c>
      <c r="G760" s="9" t="s">
        <v>9</v>
      </c>
      <c r="H760" s="9" t="s">
        <v>3</v>
      </c>
      <c r="I760" s="9">
        <v>5</v>
      </c>
      <c r="J760" s="9">
        <v>675</v>
      </c>
      <c r="K760" s="10">
        <v>3375</v>
      </c>
      <c r="L760" s="9">
        <f>HOUR([1]restaurant_sales_1200!$B760)</f>
        <v>2</v>
      </c>
      <c r="M760" s="9" t="str">
        <f t="shared" si="2"/>
        <v>Monday</v>
      </c>
    </row>
    <row r="761" spans="1:13" x14ac:dyDescent="0.25">
      <c r="A761" s="6">
        <v>1760</v>
      </c>
      <c r="B761" s="7">
        <v>45157.422018344907</v>
      </c>
      <c r="C761" s="7">
        <v>45157.422018344907</v>
      </c>
      <c r="D761" s="8">
        <v>45157.422018344907</v>
      </c>
      <c r="E761" s="9" t="s">
        <v>207</v>
      </c>
      <c r="F761" s="9" t="s">
        <v>5</v>
      </c>
      <c r="G761" s="9" t="s">
        <v>30</v>
      </c>
      <c r="H761" s="9" t="s">
        <v>13</v>
      </c>
      <c r="I761" s="9">
        <v>2</v>
      </c>
      <c r="J761" s="9">
        <v>985</v>
      </c>
      <c r="K761" s="10">
        <v>1970</v>
      </c>
      <c r="L761" s="9">
        <f>HOUR([1]restaurant_sales_1200!$B761)</f>
        <v>10</v>
      </c>
      <c r="M761" s="9" t="str">
        <f t="shared" si="2"/>
        <v>Tuesday</v>
      </c>
    </row>
    <row r="762" spans="1:13" x14ac:dyDescent="0.25">
      <c r="A762" s="6">
        <v>1761</v>
      </c>
      <c r="B762" s="7">
        <v>45157.725604675928</v>
      </c>
      <c r="C762" s="7">
        <v>45157.725604675928</v>
      </c>
      <c r="D762" s="8">
        <v>45157.725604675928</v>
      </c>
      <c r="E762" s="9" t="s">
        <v>229</v>
      </c>
      <c r="F762" s="9" t="s">
        <v>1</v>
      </c>
      <c r="G762" s="9" t="s">
        <v>30</v>
      </c>
      <c r="H762" s="9" t="s">
        <v>47</v>
      </c>
      <c r="I762" s="9">
        <v>3</v>
      </c>
      <c r="J762" s="9">
        <v>383</v>
      </c>
      <c r="K762" s="10">
        <v>1149</v>
      </c>
      <c r="L762" s="9">
        <f>HOUR([1]restaurant_sales_1200!$B762)</f>
        <v>17</v>
      </c>
      <c r="M762" s="9" t="str">
        <f t="shared" si="2"/>
        <v>Wednesday</v>
      </c>
    </row>
    <row r="763" spans="1:13" x14ac:dyDescent="0.25">
      <c r="A763" s="6">
        <v>1762</v>
      </c>
      <c r="B763" s="7">
        <v>45158.029190995374</v>
      </c>
      <c r="C763" s="7">
        <v>45158.029190995374</v>
      </c>
      <c r="D763" s="8">
        <v>45158.029190995374</v>
      </c>
      <c r="E763" s="9" t="s">
        <v>295</v>
      </c>
      <c r="F763" s="9" t="s">
        <v>5</v>
      </c>
      <c r="G763" s="9" t="s">
        <v>30</v>
      </c>
      <c r="H763" s="9" t="s">
        <v>13</v>
      </c>
      <c r="I763" s="9">
        <v>3</v>
      </c>
      <c r="J763" s="9">
        <v>220</v>
      </c>
      <c r="K763" s="10">
        <v>660</v>
      </c>
      <c r="L763" s="9">
        <f>HOUR([1]restaurant_sales_1200!$B763)</f>
        <v>0</v>
      </c>
      <c r="M763" s="9" t="str">
        <f t="shared" si="2"/>
        <v>Thursday</v>
      </c>
    </row>
    <row r="764" spans="1:13" x14ac:dyDescent="0.25">
      <c r="A764" s="6">
        <v>1763</v>
      </c>
      <c r="B764" s="7">
        <v>45158.332777314812</v>
      </c>
      <c r="C764" s="7">
        <v>45158.332777314812</v>
      </c>
      <c r="D764" s="8">
        <v>45158.332777314812</v>
      </c>
      <c r="E764" s="9" t="s">
        <v>268</v>
      </c>
      <c r="F764" s="9" t="s">
        <v>5</v>
      </c>
      <c r="G764" s="9" t="s">
        <v>6</v>
      </c>
      <c r="H764" s="9" t="s">
        <v>16</v>
      </c>
      <c r="I764" s="9">
        <v>5</v>
      </c>
      <c r="J764" s="9">
        <v>206</v>
      </c>
      <c r="K764" s="10">
        <v>1030</v>
      </c>
      <c r="L764" s="9">
        <f>HOUR([1]restaurant_sales_1200!$B764)</f>
        <v>7</v>
      </c>
      <c r="M764" s="9" t="str">
        <f t="shared" si="2"/>
        <v>Friday</v>
      </c>
    </row>
    <row r="765" spans="1:13" x14ac:dyDescent="0.25">
      <c r="A765" s="6">
        <v>1764</v>
      </c>
      <c r="B765" s="7">
        <v>45158.636363634258</v>
      </c>
      <c r="C765" s="7">
        <v>45158.636363634258</v>
      </c>
      <c r="D765" s="8">
        <v>45158.636363634258</v>
      </c>
      <c r="E765" s="9" t="s">
        <v>43</v>
      </c>
      <c r="F765" s="9" t="s">
        <v>1</v>
      </c>
      <c r="G765" s="9" t="s">
        <v>15</v>
      </c>
      <c r="H765" s="9" t="s">
        <v>16</v>
      </c>
      <c r="I765" s="9">
        <v>5</v>
      </c>
      <c r="J765" s="9">
        <v>786</v>
      </c>
      <c r="K765" s="10">
        <v>3930</v>
      </c>
      <c r="L765" s="9">
        <f>HOUR([1]restaurant_sales_1200!$B765)</f>
        <v>15</v>
      </c>
      <c r="M765" s="9" t="str">
        <f t="shared" si="2"/>
        <v>Saturday</v>
      </c>
    </row>
    <row r="766" spans="1:13" x14ac:dyDescent="0.25">
      <c r="A766" s="6">
        <v>1765</v>
      </c>
      <c r="B766" s="7">
        <v>45158.939949953703</v>
      </c>
      <c r="C766" s="7">
        <v>45158.939949953703</v>
      </c>
      <c r="D766" s="8">
        <v>45158.939949953703</v>
      </c>
      <c r="E766" s="9" t="s">
        <v>290</v>
      </c>
      <c r="F766" s="9" t="s">
        <v>1</v>
      </c>
      <c r="G766" s="9" t="s">
        <v>2</v>
      </c>
      <c r="H766" s="9" t="s">
        <v>16</v>
      </c>
      <c r="I766" s="9">
        <v>2</v>
      </c>
      <c r="J766" s="9">
        <v>303</v>
      </c>
      <c r="K766" s="10">
        <v>606</v>
      </c>
      <c r="L766" s="9">
        <f>HOUR([1]restaurant_sales_1200!$B766)</f>
        <v>22</v>
      </c>
      <c r="M766" s="9" t="str">
        <f t="shared" si="2"/>
        <v>Sunday</v>
      </c>
    </row>
    <row r="767" spans="1:13" x14ac:dyDescent="0.25">
      <c r="A767" s="6">
        <v>1766</v>
      </c>
      <c r="B767" s="7">
        <v>45159.243536284725</v>
      </c>
      <c r="C767" s="7">
        <v>45159.243536284725</v>
      </c>
      <c r="D767" s="8">
        <v>45159.243536284725</v>
      </c>
      <c r="E767" s="9" t="s">
        <v>216</v>
      </c>
      <c r="F767" s="9" t="s">
        <v>8</v>
      </c>
      <c r="G767" s="9" t="s">
        <v>2</v>
      </c>
      <c r="H767" s="9" t="s">
        <v>13</v>
      </c>
      <c r="I767" s="9">
        <v>4</v>
      </c>
      <c r="J767" s="9">
        <v>264</v>
      </c>
      <c r="K767" s="10">
        <v>1056</v>
      </c>
      <c r="L767" s="9">
        <f>HOUR([1]restaurant_sales_1200!$B767)</f>
        <v>5</v>
      </c>
      <c r="M767" s="9" t="str">
        <f t="shared" ref="M767:M1021" si="3">TEXT(A767,"dddd")</f>
        <v>Monday</v>
      </c>
    </row>
    <row r="768" spans="1:13" x14ac:dyDescent="0.25">
      <c r="A768" s="6">
        <v>1767</v>
      </c>
      <c r="B768" s="7">
        <v>45159.54712260417</v>
      </c>
      <c r="C768" s="7">
        <v>45159.54712260417</v>
      </c>
      <c r="D768" s="8">
        <v>45159.54712260417</v>
      </c>
      <c r="E768" s="9" t="s">
        <v>278</v>
      </c>
      <c r="F768" s="9" t="s">
        <v>19</v>
      </c>
      <c r="G768" s="9" t="s">
        <v>30</v>
      </c>
      <c r="H768" s="9" t="s">
        <v>3</v>
      </c>
      <c r="I768" s="9">
        <v>2</v>
      </c>
      <c r="J768" s="9">
        <v>404</v>
      </c>
      <c r="K768" s="10">
        <v>808</v>
      </c>
      <c r="L768" s="9">
        <f>HOUR([1]restaurant_sales_1200!$B768)</f>
        <v>13</v>
      </c>
      <c r="M768" s="9" t="str">
        <f t="shared" si="3"/>
        <v>Tuesday</v>
      </c>
    </row>
    <row r="769" spans="1:13" x14ac:dyDescent="0.25">
      <c r="A769" s="6">
        <v>1768</v>
      </c>
      <c r="B769" s="7">
        <v>45159.850708923608</v>
      </c>
      <c r="C769" s="7">
        <v>45159.850708923608</v>
      </c>
      <c r="D769" s="8">
        <v>45159.850708923608</v>
      </c>
      <c r="E769" s="9" t="s">
        <v>191</v>
      </c>
      <c r="F769" s="9" t="s">
        <v>8</v>
      </c>
      <c r="G769" s="9" t="s">
        <v>2</v>
      </c>
      <c r="H769" s="9" t="s">
        <v>16</v>
      </c>
      <c r="I769" s="9">
        <v>5</v>
      </c>
      <c r="J769" s="9">
        <v>596</v>
      </c>
      <c r="K769" s="10">
        <v>2980</v>
      </c>
      <c r="L769" s="9">
        <f>HOUR([1]restaurant_sales_1200!$B769)</f>
        <v>20</v>
      </c>
      <c r="M769" s="9" t="str">
        <f t="shared" si="3"/>
        <v>Wednesday</v>
      </c>
    </row>
    <row r="770" spans="1:13" x14ac:dyDescent="0.25">
      <c r="A770" s="6">
        <v>1769</v>
      </c>
      <c r="B770" s="7">
        <v>45160.154295243054</v>
      </c>
      <c r="C770" s="7">
        <v>45160.154295243054</v>
      </c>
      <c r="D770" s="8">
        <v>45160.154295243054</v>
      </c>
      <c r="E770" s="9" t="s">
        <v>117</v>
      </c>
      <c r="F770" s="9" t="s">
        <v>1</v>
      </c>
      <c r="G770" s="9" t="s">
        <v>9</v>
      </c>
      <c r="H770" s="9" t="s">
        <v>24</v>
      </c>
      <c r="I770" s="9">
        <v>5</v>
      </c>
      <c r="J770" s="9">
        <v>731</v>
      </c>
      <c r="K770" s="10">
        <v>3655</v>
      </c>
      <c r="L770" s="9">
        <f>HOUR([1]restaurant_sales_1200!$B770)</f>
        <v>3</v>
      </c>
      <c r="M770" s="9" t="str">
        <f t="shared" si="3"/>
        <v>Thursday</v>
      </c>
    </row>
    <row r="771" spans="1:13" x14ac:dyDescent="0.25">
      <c r="A771" s="6">
        <v>1770</v>
      </c>
      <c r="B771" s="7">
        <v>45160.457881562499</v>
      </c>
      <c r="C771" s="7">
        <v>45160.457881562499</v>
      </c>
      <c r="D771" s="8">
        <v>45160.457881562499</v>
      </c>
      <c r="E771" s="9" t="s">
        <v>88</v>
      </c>
      <c r="F771" s="9" t="s">
        <v>5</v>
      </c>
      <c r="G771" s="9" t="s">
        <v>9</v>
      </c>
      <c r="H771" s="9" t="s">
        <v>31</v>
      </c>
      <c r="I771" s="9">
        <v>1</v>
      </c>
      <c r="J771" s="9">
        <v>655</v>
      </c>
      <c r="K771" s="10">
        <v>655</v>
      </c>
      <c r="L771" s="9">
        <f>HOUR([1]restaurant_sales_1200!$B771)</f>
        <v>10</v>
      </c>
      <c r="M771" s="9" t="str">
        <f t="shared" si="3"/>
        <v>Friday</v>
      </c>
    </row>
    <row r="772" spans="1:13" x14ac:dyDescent="0.25">
      <c r="A772" s="6">
        <v>1771</v>
      </c>
      <c r="B772" s="7">
        <v>45160.761467893521</v>
      </c>
      <c r="C772" s="7">
        <v>45160.761467893521</v>
      </c>
      <c r="D772" s="8">
        <v>45160.761467893521</v>
      </c>
      <c r="E772" s="9" t="s">
        <v>86</v>
      </c>
      <c r="F772" s="9" t="s">
        <v>1</v>
      </c>
      <c r="G772" s="9" t="s">
        <v>15</v>
      </c>
      <c r="H772" s="9" t="s">
        <v>47</v>
      </c>
      <c r="I772" s="9">
        <v>5</v>
      </c>
      <c r="J772" s="9">
        <v>923</v>
      </c>
      <c r="K772" s="10">
        <v>4615</v>
      </c>
      <c r="L772" s="9">
        <f>HOUR([1]restaurant_sales_1200!$B772)</f>
        <v>18</v>
      </c>
      <c r="M772" s="9" t="str">
        <f t="shared" si="3"/>
        <v>Saturday</v>
      </c>
    </row>
    <row r="773" spans="1:13" x14ac:dyDescent="0.25">
      <c r="A773" s="6">
        <v>1772</v>
      </c>
      <c r="B773" s="7">
        <v>45161.065054212966</v>
      </c>
      <c r="C773" s="7">
        <v>45161.065054212966</v>
      </c>
      <c r="D773" s="8">
        <v>45161.065054212966</v>
      </c>
      <c r="E773" s="9" t="s">
        <v>288</v>
      </c>
      <c r="F773" s="9" t="s">
        <v>5</v>
      </c>
      <c r="G773" s="9" t="s">
        <v>2</v>
      </c>
      <c r="H773" s="9" t="s">
        <v>26</v>
      </c>
      <c r="I773" s="9">
        <v>1</v>
      </c>
      <c r="J773" s="9">
        <v>255</v>
      </c>
      <c r="K773" s="10">
        <v>255</v>
      </c>
      <c r="L773" s="9">
        <f>HOUR([1]restaurant_sales_1200!$B773)</f>
        <v>1</v>
      </c>
      <c r="M773" s="9" t="str">
        <f t="shared" si="3"/>
        <v>Sunday</v>
      </c>
    </row>
    <row r="774" spans="1:13" x14ac:dyDescent="0.25">
      <c r="A774" s="6">
        <v>1773</v>
      </c>
      <c r="B774" s="7">
        <v>45161.368640532404</v>
      </c>
      <c r="C774" s="7">
        <v>45161.368640532404</v>
      </c>
      <c r="D774" s="8">
        <v>45161.368640532404</v>
      </c>
      <c r="E774" s="9" t="s">
        <v>203</v>
      </c>
      <c r="F774" s="9" t="s">
        <v>8</v>
      </c>
      <c r="G774" s="9" t="s">
        <v>6</v>
      </c>
      <c r="H774" s="9" t="s">
        <v>31</v>
      </c>
      <c r="I774" s="9">
        <v>4</v>
      </c>
      <c r="J774" s="9">
        <v>466</v>
      </c>
      <c r="K774" s="10">
        <v>1864</v>
      </c>
      <c r="L774" s="9">
        <f>HOUR([1]restaurant_sales_1200!$B774)</f>
        <v>8</v>
      </c>
      <c r="M774" s="9" t="str">
        <f t="shared" si="3"/>
        <v>Monday</v>
      </c>
    </row>
    <row r="775" spans="1:13" x14ac:dyDescent="0.25">
      <c r="A775" s="6">
        <v>1774</v>
      </c>
      <c r="B775" s="7">
        <v>45161.67222685185</v>
      </c>
      <c r="C775" s="7">
        <v>45161.67222685185</v>
      </c>
      <c r="D775" s="8">
        <v>45161.67222685185</v>
      </c>
      <c r="E775" s="9" t="s">
        <v>62</v>
      </c>
      <c r="F775" s="9" t="s">
        <v>8</v>
      </c>
      <c r="G775" s="9" t="s">
        <v>2</v>
      </c>
      <c r="H775" s="9" t="s">
        <v>3</v>
      </c>
      <c r="I775" s="9">
        <v>2</v>
      </c>
      <c r="J775" s="9">
        <v>818</v>
      </c>
      <c r="K775" s="10">
        <v>1636</v>
      </c>
      <c r="L775" s="9">
        <f>HOUR([1]restaurant_sales_1200!$B775)</f>
        <v>16</v>
      </c>
      <c r="M775" s="9" t="str">
        <f t="shared" si="3"/>
        <v>Tuesday</v>
      </c>
    </row>
    <row r="776" spans="1:13" x14ac:dyDescent="0.25">
      <c r="A776" s="6">
        <v>1775</v>
      </c>
      <c r="B776" s="7">
        <v>45161.975813182871</v>
      </c>
      <c r="C776" s="7">
        <v>45161.975813182871</v>
      </c>
      <c r="D776" s="8">
        <v>45161.975813182871</v>
      </c>
      <c r="E776" s="9" t="s">
        <v>170</v>
      </c>
      <c r="F776" s="9" t="s">
        <v>8</v>
      </c>
      <c r="G776" s="9" t="s">
        <v>6</v>
      </c>
      <c r="H776" s="9" t="s">
        <v>47</v>
      </c>
      <c r="I776" s="9">
        <v>2</v>
      </c>
      <c r="J776" s="9">
        <v>719</v>
      </c>
      <c r="K776" s="10">
        <v>1438</v>
      </c>
      <c r="L776" s="9">
        <f>HOUR([1]restaurant_sales_1200!$B776)</f>
        <v>23</v>
      </c>
      <c r="M776" s="9" t="str">
        <f t="shared" si="3"/>
        <v>Wednesday</v>
      </c>
    </row>
    <row r="777" spans="1:13" x14ac:dyDescent="0.25">
      <c r="A777" s="6">
        <v>1776</v>
      </c>
      <c r="B777" s="7">
        <v>45162.279399502317</v>
      </c>
      <c r="C777" s="7">
        <v>45162.279399502317</v>
      </c>
      <c r="D777" s="8">
        <v>45162.279399502317</v>
      </c>
      <c r="E777" s="9" t="s">
        <v>271</v>
      </c>
      <c r="F777" s="9" t="s">
        <v>5</v>
      </c>
      <c r="G777" s="9" t="s">
        <v>30</v>
      </c>
      <c r="H777" s="9" t="s">
        <v>24</v>
      </c>
      <c r="I777" s="9">
        <v>1</v>
      </c>
      <c r="J777" s="9">
        <v>350</v>
      </c>
      <c r="K777" s="10">
        <v>350</v>
      </c>
      <c r="L777" s="9">
        <f>HOUR([1]restaurant_sales_1200!$B777)</f>
        <v>6</v>
      </c>
      <c r="M777" s="9" t="str">
        <f t="shared" si="3"/>
        <v>Thursday</v>
      </c>
    </row>
    <row r="778" spans="1:13" x14ac:dyDescent="0.25">
      <c r="A778" s="6">
        <v>1777</v>
      </c>
      <c r="B778" s="7">
        <v>45162.582985821762</v>
      </c>
      <c r="C778" s="7">
        <v>45162.582985821762</v>
      </c>
      <c r="D778" s="8">
        <v>45162.582985821762</v>
      </c>
      <c r="E778" s="9" t="s">
        <v>221</v>
      </c>
      <c r="F778" s="9" t="s">
        <v>19</v>
      </c>
      <c r="G778" s="9" t="s">
        <v>6</v>
      </c>
      <c r="H778" s="9" t="s">
        <v>20</v>
      </c>
      <c r="I778" s="9">
        <v>2</v>
      </c>
      <c r="J778" s="9">
        <v>981</v>
      </c>
      <c r="K778" s="10">
        <v>1962</v>
      </c>
      <c r="L778" s="9">
        <f>HOUR([1]restaurant_sales_1200!$B778)</f>
        <v>13</v>
      </c>
      <c r="M778" s="9" t="str">
        <f t="shared" si="3"/>
        <v>Friday</v>
      </c>
    </row>
    <row r="779" spans="1:13" x14ac:dyDescent="0.25">
      <c r="A779" s="6">
        <v>1778</v>
      </c>
      <c r="B779" s="7">
        <v>45162.8865721412</v>
      </c>
      <c r="C779" s="7">
        <v>45162.8865721412</v>
      </c>
      <c r="D779" s="8">
        <v>45162.8865721412</v>
      </c>
      <c r="E779" s="9" t="s">
        <v>205</v>
      </c>
      <c r="F779" s="9" t="s">
        <v>19</v>
      </c>
      <c r="G779" s="9" t="s">
        <v>30</v>
      </c>
      <c r="H779" s="9" t="s">
        <v>3</v>
      </c>
      <c r="I779" s="9">
        <v>5</v>
      </c>
      <c r="J779" s="9">
        <v>433</v>
      </c>
      <c r="K779" s="10">
        <v>2165</v>
      </c>
      <c r="L779" s="9">
        <f>HOUR([1]restaurant_sales_1200!$B779)</f>
        <v>21</v>
      </c>
      <c r="M779" s="9" t="str">
        <f t="shared" si="3"/>
        <v>Saturday</v>
      </c>
    </row>
    <row r="780" spans="1:13" x14ac:dyDescent="0.25">
      <c r="A780" s="6">
        <v>1779</v>
      </c>
      <c r="B780" s="7">
        <v>45163.190158460646</v>
      </c>
      <c r="C780" s="7">
        <v>45163.190158460646</v>
      </c>
      <c r="D780" s="8">
        <v>45163.190158460646</v>
      </c>
      <c r="E780" s="9" t="s">
        <v>248</v>
      </c>
      <c r="F780" s="9" t="s">
        <v>19</v>
      </c>
      <c r="G780" s="9" t="s">
        <v>9</v>
      </c>
      <c r="H780" s="9" t="s">
        <v>31</v>
      </c>
      <c r="I780" s="9">
        <v>3</v>
      </c>
      <c r="J780" s="9">
        <v>741</v>
      </c>
      <c r="K780" s="10">
        <v>2223</v>
      </c>
      <c r="L780" s="9">
        <f>HOUR([1]restaurant_sales_1200!$B780)</f>
        <v>4</v>
      </c>
      <c r="M780" s="9" t="str">
        <f t="shared" si="3"/>
        <v>Sunday</v>
      </c>
    </row>
    <row r="781" spans="1:13" x14ac:dyDescent="0.25">
      <c r="A781" s="6">
        <v>1780</v>
      </c>
      <c r="B781" s="7">
        <v>45163.493744791667</v>
      </c>
      <c r="C781" s="7">
        <v>45163.493744791667</v>
      </c>
      <c r="D781" s="8">
        <v>45163.493744791667</v>
      </c>
      <c r="E781" s="9" t="s">
        <v>138</v>
      </c>
      <c r="F781" s="9" t="s">
        <v>1</v>
      </c>
      <c r="G781" s="9" t="s">
        <v>2</v>
      </c>
      <c r="H781" s="9" t="s">
        <v>31</v>
      </c>
      <c r="I781" s="9">
        <v>1</v>
      </c>
      <c r="J781" s="9">
        <v>610</v>
      </c>
      <c r="K781" s="10">
        <v>610</v>
      </c>
      <c r="L781" s="9">
        <f>HOUR([1]restaurant_sales_1200!$B781)</f>
        <v>11</v>
      </c>
      <c r="M781" s="9" t="str">
        <f t="shared" si="3"/>
        <v>Monday</v>
      </c>
    </row>
    <row r="782" spans="1:13" x14ac:dyDescent="0.25">
      <c r="A782" s="6">
        <v>1781</v>
      </c>
      <c r="B782" s="7">
        <v>45163.797331111113</v>
      </c>
      <c r="C782" s="7">
        <v>45163.797331111113</v>
      </c>
      <c r="D782" s="8">
        <v>45163.797331111113</v>
      </c>
      <c r="E782" s="9" t="s">
        <v>175</v>
      </c>
      <c r="F782" s="9" t="s">
        <v>1</v>
      </c>
      <c r="G782" s="9" t="s">
        <v>15</v>
      </c>
      <c r="H782" s="9" t="s">
        <v>33</v>
      </c>
      <c r="I782" s="9">
        <v>2</v>
      </c>
      <c r="J782" s="9">
        <v>392</v>
      </c>
      <c r="K782" s="10">
        <v>784</v>
      </c>
      <c r="L782" s="9">
        <f>HOUR([1]restaurant_sales_1200!$B782)</f>
        <v>19</v>
      </c>
      <c r="M782" s="9" t="str">
        <f t="shared" si="3"/>
        <v>Tuesday</v>
      </c>
    </row>
    <row r="783" spans="1:13" x14ac:dyDescent="0.25">
      <c r="A783" s="6">
        <v>1782</v>
      </c>
      <c r="B783" s="7">
        <v>45164.100917430558</v>
      </c>
      <c r="C783" s="7">
        <v>45164.100917430558</v>
      </c>
      <c r="D783" s="8">
        <v>45164.100917430558</v>
      </c>
      <c r="E783" s="9" t="s">
        <v>296</v>
      </c>
      <c r="F783" s="9" t="s">
        <v>5</v>
      </c>
      <c r="G783" s="9" t="s">
        <v>2</v>
      </c>
      <c r="H783" s="9" t="s">
        <v>24</v>
      </c>
      <c r="I783" s="9">
        <v>1</v>
      </c>
      <c r="J783" s="9">
        <v>119</v>
      </c>
      <c r="K783" s="10">
        <v>119</v>
      </c>
      <c r="L783" s="9">
        <f>HOUR([1]restaurant_sales_1200!$B783)</f>
        <v>2</v>
      </c>
      <c r="M783" s="9" t="str">
        <f t="shared" si="3"/>
        <v>Wednesday</v>
      </c>
    </row>
    <row r="784" spans="1:13" x14ac:dyDescent="0.25">
      <c r="A784" s="6">
        <v>1783</v>
      </c>
      <c r="B784" s="7">
        <v>45164.404503749996</v>
      </c>
      <c r="C784" s="7">
        <v>45164.404503749996</v>
      </c>
      <c r="D784" s="8">
        <v>45164.404503749996</v>
      </c>
      <c r="E784" s="9" t="s">
        <v>81</v>
      </c>
      <c r="F784" s="9" t="s">
        <v>1</v>
      </c>
      <c r="G784" s="9" t="s">
        <v>30</v>
      </c>
      <c r="H784" s="9" t="s">
        <v>33</v>
      </c>
      <c r="I784" s="9">
        <v>1</v>
      </c>
      <c r="J784" s="9">
        <v>381</v>
      </c>
      <c r="K784" s="10">
        <v>381</v>
      </c>
      <c r="L784" s="9">
        <f>HOUR([1]restaurant_sales_1200!$B784)</f>
        <v>9</v>
      </c>
      <c r="M784" s="9" t="str">
        <f t="shared" si="3"/>
        <v>Thursday</v>
      </c>
    </row>
    <row r="785" spans="1:13" x14ac:dyDescent="0.25">
      <c r="A785" s="6">
        <v>1784</v>
      </c>
      <c r="B785" s="7">
        <v>45164.708090069442</v>
      </c>
      <c r="C785" s="7">
        <v>45164.708090069442</v>
      </c>
      <c r="D785" s="8">
        <v>45164.708090069442</v>
      </c>
      <c r="E785" s="9" t="s">
        <v>297</v>
      </c>
      <c r="F785" s="9" t="s">
        <v>5</v>
      </c>
      <c r="G785" s="9" t="s">
        <v>2</v>
      </c>
      <c r="H785" s="9" t="s">
        <v>26</v>
      </c>
      <c r="I785" s="9">
        <v>3</v>
      </c>
      <c r="J785" s="9">
        <v>896</v>
      </c>
      <c r="K785" s="10">
        <v>2688</v>
      </c>
      <c r="L785" s="9">
        <f>HOUR([1]restaurant_sales_1200!$B785)</f>
        <v>16</v>
      </c>
      <c r="M785" s="9" t="str">
        <f t="shared" si="3"/>
        <v>Friday</v>
      </c>
    </row>
    <row r="786" spans="1:13" x14ac:dyDescent="0.25">
      <c r="A786" s="6">
        <v>1785</v>
      </c>
      <c r="B786" s="7">
        <v>45165.011676400463</v>
      </c>
      <c r="C786" s="7">
        <v>45165.011676400463</v>
      </c>
      <c r="D786" s="8">
        <v>45165.011676400463</v>
      </c>
      <c r="E786" s="9" t="s">
        <v>152</v>
      </c>
      <c r="F786" s="9" t="s">
        <v>8</v>
      </c>
      <c r="G786" s="9" t="s">
        <v>15</v>
      </c>
      <c r="H786" s="9" t="s">
        <v>26</v>
      </c>
      <c r="I786" s="9">
        <v>5</v>
      </c>
      <c r="J786" s="9">
        <v>100</v>
      </c>
      <c r="K786" s="10">
        <v>500</v>
      </c>
      <c r="L786" s="9">
        <f>HOUR([1]restaurant_sales_1200!$B786)</f>
        <v>0</v>
      </c>
      <c r="M786" s="9" t="str">
        <f t="shared" si="3"/>
        <v>Saturday</v>
      </c>
    </row>
    <row r="787" spans="1:13" x14ac:dyDescent="0.25">
      <c r="A787" s="6">
        <v>1786</v>
      </c>
      <c r="B787" s="7">
        <v>45165.315262719909</v>
      </c>
      <c r="C787" s="7">
        <v>45165.315262719909</v>
      </c>
      <c r="D787" s="8">
        <v>45165.315262719909</v>
      </c>
      <c r="E787" s="9" t="s">
        <v>199</v>
      </c>
      <c r="F787" s="9" t="s">
        <v>5</v>
      </c>
      <c r="G787" s="9" t="s">
        <v>30</v>
      </c>
      <c r="H787" s="9" t="s">
        <v>10</v>
      </c>
      <c r="I787" s="9">
        <v>1</v>
      </c>
      <c r="J787" s="9">
        <v>218</v>
      </c>
      <c r="K787" s="10">
        <v>218</v>
      </c>
      <c r="L787" s="9">
        <f>HOUR([1]restaurant_sales_1200!$B787)</f>
        <v>7</v>
      </c>
      <c r="M787" s="9" t="str">
        <f t="shared" si="3"/>
        <v>Sunday</v>
      </c>
    </row>
    <row r="788" spans="1:13" x14ac:dyDescent="0.25">
      <c r="A788" s="6">
        <v>1787</v>
      </c>
      <c r="B788" s="7">
        <v>45165.618849039354</v>
      </c>
      <c r="C788" s="7">
        <v>45165.618849039354</v>
      </c>
      <c r="D788" s="8">
        <v>45165.618849039354</v>
      </c>
      <c r="E788" s="9" t="s">
        <v>48</v>
      </c>
      <c r="F788" s="9" t="s">
        <v>1</v>
      </c>
      <c r="G788" s="9" t="s">
        <v>30</v>
      </c>
      <c r="H788" s="9" t="s">
        <v>26</v>
      </c>
      <c r="I788" s="9">
        <v>2</v>
      </c>
      <c r="J788" s="9">
        <v>134</v>
      </c>
      <c r="K788" s="10">
        <v>268</v>
      </c>
      <c r="L788" s="9">
        <f>HOUR([1]restaurant_sales_1200!$B788)</f>
        <v>14</v>
      </c>
      <c r="M788" s="9" t="str">
        <f t="shared" si="3"/>
        <v>Monday</v>
      </c>
    </row>
    <row r="789" spans="1:13" x14ac:dyDescent="0.25">
      <c r="A789" s="6">
        <v>1788</v>
      </c>
      <c r="B789" s="7">
        <v>45165.9224353588</v>
      </c>
      <c r="C789" s="7">
        <v>45165.9224353588</v>
      </c>
      <c r="D789" s="8">
        <v>45165.9224353588</v>
      </c>
      <c r="E789" s="9" t="s">
        <v>266</v>
      </c>
      <c r="F789" s="9" t="s">
        <v>8</v>
      </c>
      <c r="G789" s="9" t="s">
        <v>15</v>
      </c>
      <c r="H789" s="9" t="s">
        <v>20</v>
      </c>
      <c r="I789" s="9">
        <v>4</v>
      </c>
      <c r="J789" s="9">
        <v>297</v>
      </c>
      <c r="K789" s="10">
        <v>1188</v>
      </c>
      <c r="L789" s="9">
        <f>HOUR([1]restaurant_sales_1200!$B789)</f>
        <v>22</v>
      </c>
      <c r="M789" s="9" t="str">
        <f t="shared" si="3"/>
        <v>Tuesday</v>
      </c>
    </row>
    <row r="790" spans="1:13" x14ac:dyDescent="0.25">
      <c r="A790" s="6">
        <v>1789</v>
      </c>
      <c r="B790" s="7">
        <v>45166.226021689814</v>
      </c>
      <c r="C790" s="7">
        <v>45166.226021689814</v>
      </c>
      <c r="D790" s="8">
        <v>45166.226021689814</v>
      </c>
      <c r="E790" s="9" t="s">
        <v>178</v>
      </c>
      <c r="F790" s="9" t="s">
        <v>8</v>
      </c>
      <c r="G790" s="9" t="s">
        <v>2</v>
      </c>
      <c r="H790" s="9" t="s">
        <v>33</v>
      </c>
      <c r="I790" s="9">
        <v>1</v>
      </c>
      <c r="J790" s="9">
        <v>584</v>
      </c>
      <c r="K790" s="10">
        <v>584</v>
      </c>
      <c r="L790" s="9">
        <f>HOUR([1]restaurant_sales_1200!$B790)</f>
        <v>5</v>
      </c>
      <c r="M790" s="9" t="str">
        <f t="shared" si="3"/>
        <v>Wednesday</v>
      </c>
    </row>
    <row r="791" spans="1:13" x14ac:dyDescent="0.25">
      <c r="A791" s="6">
        <v>1790</v>
      </c>
      <c r="B791" s="7">
        <v>45166.529608009259</v>
      </c>
      <c r="C791" s="7">
        <v>45166.529608009259</v>
      </c>
      <c r="D791" s="8">
        <v>45166.529608009259</v>
      </c>
      <c r="E791" s="9" t="s">
        <v>125</v>
      </c>
      <c r="F791" s="9" t="s">
        <v>5</v>
      </c>
      <c r="G791" s="9" t="s">
        <v>15</v>
      </c>
      <c r="H791" s="9" t="s">
        <v>24</v>
      </c>
      <c r="I791" s="9">
        <v>1</v>
      </c>
      <c r="J791" s="9">
        <v>856</v>
      </c>
      <c r="K791" s="10">
        <v>856</v>
      </c>
      <c r="L791" s="9">
        <f>HOUR([1]restaurant_sales_1200!$B791)</f>
        <v>12</v>
      </c>
      <c r="M791" s="9" t="str">
        <f t="shared" si="3"/>
        <v>Thursday</v>
      </c>
    </row>
    <row r="792" spans="1:13" x14ac:dyDescent="0.25">
      <c r="A792" s="6">
        <v>1791</v>
      </c>
      <c r="B792" s="7">
        <v>45166.833194328705</v>
      </c>
      <c r="C792" s="7">
        <v>45166.833194328705</v>
      </c>
      <c r="D792" s="8">
        <v>45166.833194328705</v>
      </c>
      <c r="E792" s="9" t="s">
        <v>99</v>
      </c>
      <c r="F792" s="9" t="s">
        <v>19</v>
      </c>
      <c r="G792" s="9" t="s">
        <v>6</v>
      </c>
      <c r="H792" s="9" t="s">
        <v>3</v>
      </c>
      <c r="I792" s="9">
        <v>3</v>
      </c>
      <c r="J792" s="9">
        <v>158</v>
      </c>
      <c r="K792" s="10">
        <v>474</v>
      </c>
      <c r="L792" s="9">
        <f>HOUR([1]restaurant_sales_1200!$B792)</f>
        <v>19</v>
      </c>
      <c r="M792" s="9" t="str">
        <f t="shared" si="3"/>
        <v>Friday</v>
      </c>
    </row>
    <row r="793" spans="1:13" x14ac:dyDescent="0.25">
      <c r="A793" s="6">
        <v>1792</v>
      </c>
      <c r="B793" s="7">
        <v>45167.13678064815</v>
      </c>
      <c r="C793" s="7">
        <v>45167.13678064815</v>
      </c>
      <c r="D793" s="8">
        <v>45167.13678064815</v>
      </c>
      <c r="E793" s="9" t="s">
        <v>232</v>
      </c>
      <c r="F793" s="9" t="s">
        <v>1</v>
      </c>
      <c r="G793" s="9" t="s">
        <v>9</v>
      </c>
      <c r="H793" s="9" t="s">
        <v>24</v>
      </c>
      <c r="I793" s="9">
        <v>5</v>
      </c>
      <c r="J793" s="9">
        <v>936</v>
      </c>
      <c r="K793" s="10">
        <v>4680</v>
      </c>
      <c r="L793" s="9">
        <f>HOUR([1]restaurant_sales_1200!$B793)</f>
        <v>3</v>
      </c>
      <c r="M793" s="9" t="str">
        <f t="shared" si="3"/>
        <v>Saturday</v>
      </c>
    </row>
    <row r="794" spans="1:13" x14ac:dyDescent="0.25">
      <c r="A794" s="6">
        <v>1793</v>
      </c>
      <c r="B794" s="7">
        <v>45167.440366967596</v>
      </c>
      <c r="C794" s="7">
        <v>45167.440366967596</v>
      </c>
      <c r="D794" s="8">
        <v>45167.440366967596</v>
      </c>
      <c r="E794" s="9" t="s">
        <v>196</v>
      </c>
      <c r="F794" s="9" t="s">
        <v>1</v>
      </c>
      <c r="G794" s="9" t="s">
        <v>15</v>
      </c>
      <c r="H794" s="9" t="s">
        <v>24</v>
      </c>
      <c r="I794" s="9">
        <v>4</v>
      </c>
      <c r="J794" s="9">
        <v>260</v>
      </c>
      <c r="K794" s="10">
        <v>1040</v>
      </c>
      <c r="L794" s="9">
        <f>HOUR([1]restaurant_sales_1200!$B794)</f>
        <v>10</v>
      </c>
      <c r="M794" s="9" t="str">
        <f t="shared" si="3"/>
        <v>Sunday</v>
      </c>
    </row>
    <row r="795" spans="1:13" x14ac:dyDescent="0.25">
      <c r="A795" s="6">
        <v>1794</v>
      </c>
      <c r="B795" s="7">
        <v>45167.74395329861</v>
      </c>
      <c r="C795" s="7">
        <v>45167.74395329861</v>
      </c>
      <c r="D795" s="8">
        <v>45167.74395329861</v>
      </c>
      <c r="E795" s="9" t="s">
        <v>155</v>
      </c>
      <c r="F795" s="9" t="s">
        <v>19</v>
      </c>
      <c r="G795" s="9" t="s">
        <v>30</v>
      </c>
      <c r="H795" s="9" t="s">
        <v>16</v>
      </c>
      <c r="I795" s="9">
        <v>2</v>
      </c>
      <c r="J795" s="9">
        <v>790</v>
      </c>
      <c r="K795" s="10">
        <v>1580</v>
      </c>
      <c r="L795" s="9">
        <f>HOUR([1]restaurant_sales_1200!$B795)</f>
        <v>17</v>
      </c>
      <c r="M795" s="9" t="str">
        <f t="shared" si="3"/>
        <v>Monday</v>
      </c>
    </row>
    <row r="796" spans="1:13" x14ac:dyDescent="0.25">
      <c r="A796" s="6">
        <v>1795</v>
      </c>
      <c r="B796" s="7">
        <v>45168.047539618055</v>
      </c>
      <c r="C796" s="7">
        <v>45168.047539618055</v>
      </c>
      <c r="D796" s="8">
        <v>45168.047539618055</v>
      </c>
      <c r="E796" s="9" t="s">
        <v>171</v>
      </c>
      <c r="F796" s="9" t="s">
        <v>1</v>
      </c>
      <c r="G796" s="9" t="s">
        <v>6</v>
      </c>
      <c r="H796" s="9" t="s">
        <v>47</v>
      </c>
      <c r="I796" s="9">
        <v>4</v>
      </c>
      <c r="J796" s="9">
        <v>305</v>
      </c>
      <c r="K796" s="10">
        <v>1220</v>
      </c>
      <c r="L796" s="9">
        <f>HOUR([1]restaurant_sales_1200!$B796)</f>
        <v>1</v>
      </c>
      <c r="M796" s="9" t="str">
        <f t="shared" si="3"/>
        <v>Tuesday</v>
      </c>
    </row>
    <row r="797" spans="1:13" x14ac:dyDescent="0.25">
      <c r="A797" s="6">
        <v>1796</v>
      </c>
      <c r="B797" s="7">
        <v>45168.351125937501</v>
      </c>
      <c r="C797" s="7">
        <v>45168.351125937501</v>
      </c>
      <c r="D797" s="8">
        <v>45168.351125937501</v>
      </c>
      <c r="E797" s="9" t="s">
        <v>298</v>
      </c>
      <c r="F797" s="9" t="s">
        <v>19</v>
      </c>
      <c r="G797" s="9" t="s">
        <v>9</v>
      </c>
      <c r="H797" s="9" t="s">
        <v>13</v>
      </c>
      <c r="I797" s="9">
        <v>2</v>
      </c>
      <c r="J797" s="9">
        <v>111</v>
      </c>
      <c r="K797" s="10">
        <v>222</v>
      </c>
      <c r="L797" s="9">
        <f>HOUR([1]restaurant_sales_1200!$B797)</f>
        <v>8</v>
      </c>
      <c r="M797" s="9" t="str">
        <f t="shared" si="3"/>
        <v>Wednesday</v>
      </c>
    </row>
    <row r="798" spans="1:13" x14ac:dyDescent="0.25">
      <c r="A798" s="6">
        <v>1797</v>
      </c>
      <c r="B798" s="7">
        <v>45168.654712256946</v>
      </c>
      <c r="C798" s="7">
        <v>45168.654712256946</v>
      </c>
      <c r="D798" s="8">
        <v>45168.654712256946</v>
      </c>
      <c r="E798" s="9" t="s">
        <v>89</v>
      </c>
      <c r="F798" s="9" t="s">
        <v>19</v>
      </c>
      <c r="G798" s="9" t="s">
        <v>15</v>
      </c>
      <c r="H798" s="9" t="s">
        <v>10</v>
      </c>
      <c r="I798" s="9">
        <v>5</v>
      </c>
      <c r="J798" s="9">
        <v>589</v>
      </c>
      <c r="K798" s="10">
        <v>2945</v>
      </c>
      <c r="L798" s="9">
        <f>HOUR([1]restaurant_sales_1200!$B798)</f>
        <v>15</v>
      </c>
      <c r="M798" s="9" t="str">
        <f t="shared" si="3"/>
        <v>Thursday</v>
      </c>
    </row>
    <row r="799" spans="1:13" x14ac:dyDescent="0.25">
      <c r="A799" s="6">
        <v>1798</v>
      </c>
      <c r="B799" s="7">
        <v>45168.958298576392</v>
      </c>
      <c r="C799" s="7">
        <v>45168.958298576392</v>
      </c>
      <c r="D799" s="8">
        <v>45168.958298576392</v>
      </c>
      <c r="E799" s="9" t="s">
        <v>52</v>
      </c>
      <c r="F799" s="9" t="s">
        <v>8</v>
      </c>
      <c r="G799" s="9" t="s">
        <v>9</v>
      </c>
      <c r="H799" s="9" t="s">
        <v>20</v>
      </c>
      <c r="I799" s="9">
        <v>2</v>
      </c>
      <c r="J799" s="9">
        <v>375</v>
      </c>
      <c r="K799" s="10">
        <v>750</v>
      </c>
      <c r="L799" s="9">
        <f>HOUR([1]restaurant_sales_1200!$B799)</f>
        <v>22</v>
      </c>
      <c r="M799" s="9" t="str">
        <f t="shared" si="3"/>
        <v>Friday</v>
      </c>
    </row>
    <row r="800" spans="1:13" x14ac:dyDescent="0.25">
      <c r="A800" s="6">
        <v>1799</v>
      </c>
      <c r="B800" s="7">
        <v>45169.261884907406</v>
      </c>
      <c r="C800" s="7">
        <v>45169.261884907406</v>
      </c>
      <c r="D800" s="8">
        <v>45169.261884907406</v>
      </c>
      <c r="E800" s="9" t="s">
        <v>193</v>
      </c>
      <c r="F800" s="9" t="s">
        <v>8</v>
      </c>
      <c r="G800" s="9" t="s">
        <v>2</v>
      </c>
      <c r="H800" s="9" t="s">
        <v>26</v>
      </c>
      <c r="I800" s="9">
        <v>3</v>
      </c>
      <c r="J800" s="9">
        <v>792</v>
      </c>
      <c r="K800" s="10">
        <v>2376</v>
      </c>
      <c r="L800" s="9">
        <f>HOUR([1]restaurant_sales_1200!$B800)</f>
        <v>6</v>
      </c>
      <c r="M800" s="9" t="str">
        <f t="shared" si="3"/>
        <v>Saturday</v>
      </c>
    </row>
    <row r="801" spans="1:13" x14ac:dyDescent="0.25">
      <c r="A801" s="6">
        <v>1800</v>
      </c>
      <c r="B801" s="7">
        <v>45169.565471226852</v>
      </c>
      <c r="C801" s="7">
        <v>45169.565471226852</v>
      </c>
      <c r="D801" s="8">
        <v>45169.565471226852</v>
      </c>
      <c r="E801" s="9" t="s">
        <v>119</v>
      </c>
      <c r="F801" s="9" t="s">
        <v>5</v>
      </c>
      <c r="G801" s="9" t="s">
        <v>30</v>
      </c>
      <c r="H801" s="9" t="s">
        <v>3</v>
      </c>
      <c r="I801" s="9">
        <v>3</v>
      </c>
      <c r="J801" s="9">
        <v>341</v>
      </c>
      <c r="K801" s="10">
        <v>1023</v>
      </c>
      <c r="L801" s="9">
        <f>HOUR([1]restaurant_sales_1200!$B801)</f>
        <v>13</v>
      </c>
      <c r="M801" s="9" t="str">
        <f t="shared" si="3"/>
        <v>Sunday</v>
      </c>
    </row>
    <row r="802" spans="1:13" x14ac:dyDescent="0.25">
      <c r="A802" s="6">
        <v>1801</v>
      </c>
      <c r="B802" s="7">
        <v>45169.869057546297</v>
      </c>
      <c r="C802" s="7">
        <v>45169.869057546297</v>
      </c>
      <c r="D802" s="8">
        <v>45169.869057546297</v>
      </c>
      <c r="E802" s="9" t="s">
        <v>135</v>
      </c>
      <c r="F802" s="9" t="s">
        <v>8</v>
      </c>
      <c r="G802" s="9" t="s">
        <v>15</v>
      </c>
      <c r="H802" s="9" t="s">
        <v>47</v>
      </c>
      <c r="I802" s="9">
        <v>3</v>
      </c>
      <c r="J802" s="9">
        <v>315</v>
      </c>
      <c r="K802" s="10">
        <v>945</v>
      </c>
      <c r="L802" s="9">
        <f>HOUR([1]restaurant_sales_1200!$B802)</f>
        <v>20</v>
      </c>
      <c r="M802" s="9" t="str">
        <f t="shared" si="3"/>
        <v>Monday</v>
      </c>
    </row>
    <row r="803" spans="1:13" x14ac:dyDescent="0.25">
      <c r="A803" s="6">
        <v>1802</v>
      </c>
      <c r="B803" s="7">
        <v>45170.172643865742</v>
      </c>
      <c r="C803" s="7">
        <v>45170.172643865742</v>
      </c>
      <c r="D803" s="8">
        <v>45170.172643865742</v>
      </c>
      <c r="E803" s="9" t="s">
        <v>299</v>
      </c>
      <c r="F803" s="9" t="s">
        <v>19</v>
      </c>
      <c r="G803" s="9" t="s">
        <v>30</v>
      </c>
      <c r="H803" s="9" t="s">
        <v>16</v>
      </c>
      <c r="I803" s="9">
        <v>3</v>
      </c>
      <c r="J803" s="9">
        <v>350</v>
      </c>
      <c r="K803" s="10">
        <v>1050</v>
      </c>
      <c r="L803" s="9">
        <f>HOUR([1]restaurant_sales_1200!$B803)</f>
        <v>4</v>
      </c>
      <c r="M803" s="9" t="str">
        <f t="shared" si="3"/>
        <v>Tuesday</v>
      </c>
    </row>
    <row r="804" spans="1:13" x14ac:dyDescent="0.25">
      <c r="A804" s="6">
        <v>1803</v>
      </c>
      <c r="B804" s="7">
        <v>45170.476230196757</v>
      </c>
      <c r="C804" s="7">
        <v>45170.476230196757</v>
      </c>
      <c r="D804" s="8">
        <v>45170.476230196757</v>
      </c>
      <c r="E804" s="9" t="s">
        <v>59</v>
      </c>
      <c r="F804" s="9" t="s">
        <v>5</v>
      </c>
      <c r="G804" s="9" t="s">
        <v>6</v>
      </c>
      <c r="H804" s="9" t="s">
        <v>24</v>
      </c>
      <c r="I804" s="9">
        <v>4</v>
      </c>
      <c r="J804" s="9">
        <v>910</v>
      </c>
      <c r="K804" s="10">
        <v>3640</v>
      </c>
      <c r="L804" s="9">
        <f>HOUR([1]restaurant_sales_1200!$B804)</f>
        <v>11</v>
      </c>
      <c r="M804" s="9" t="str">
        <f t="shared" si="3"/>
        <v>Wednesday</v>
      </c>
    </row>
    <row r="805" spans="1:13" x14ac:dyDescent="0.25">
      <c r="A805" s="6">
        <v>1804</v>
      </c>
      <c r="B805" s="7">
        <v>45170.779816516202</v>
      </c>
      <c r="C805" s="7">
        <v>45170.779816516202</v>
      </c>
      <c r="D805" s="8">
        <v>45170.779816516202</v>
      </c>
      <c r="E805" s="9" t="s">
        <v>177</v>
      </c>
      <c r="F805" s="9" t="s">
        <v>1</v>
      </c>
      <c r="G805" s="9" t="s">
        <v>6</v>
      </c>
      <c r="H805" s="9" t="s">
        <v>24</v>
      </c>
      <c r="I805" s="9">
        <v>5</v>
      </c>
      <c r="J805" s="9">
        <v>225</v>
      </c>
      <c r="K805" s="10">
        <v>1125</v>
      </c>
      <c r="L805" s="9">
        <f>HOUR([1]restaurant_sales_1200!$B805)</f>
        <v>18</v>
      </c>
      <c r="M805" s="9" t="str">
        <f t="shared" si="3"/>
        <v>Thursday</v>
      </c>
    </row>
    <row r="806" spans="1:13" x14ac:dyDescent="0.25">
      <c r="A806" s="6">
        <v>1805</v>
      </c>
      <c r="B806" s="7">
        <v>45171.083402835648</v>
      </c>
      <c r="C806" s="7">
        <v>45171.083402835648</v>
      </c>
      <c r="D806" s="8">
        <v>45171.083402835648</v>
      </c>
      <c r="E806" s="9" t="s">
        <v>119</v>
      </c>
      <c r="F806" s="9" t="s">
        <v>19</v>
      </c>
      <c r="G806" s="9" t="s">
        <v>9</v>
      </c>
      <c r="H806" s="9" t="s">
        <v>31</v>
      </c>
      <c r="I806" s="9">
        <v>2</v>
      </c>
      <c r="J806" s="9">
        <v>316</v>
      </c>
      <c r="K806" s="10">
        <v>632</v>
      </c>
      <c r="L806" s="9">
        <f>HOUR([1]restaurant_sales_1200!$B806)</f>
        <v>2</v>
      </c>
      <c r="M806" s="9" t="str">
        <f t="shared" si="3"/>
        <v>Friday</v>
      </c>
    </row>
    <row r="807" spans="1:13" x14ac:dyDescent="0.25">
      <c r="A807" s="6">
        <v>1806</v>
      </c>
      <c r="B807" s="7">
        <v>45171.386989155093</v>
      </c>
      <c r="C807" s="7">
        <v>45171.386989155093</v>
      </c>
      <c r="D807" s="8">
        <v>45171.386989155093</v>
      </c>
      <c r="E807" s="9" t="s">
        <v>120</v>
      </c>
      <c r="F807" s="9" t="s">
        <v>5</v>
      </c>
      <c r="G807" s="9" t="s">
        <v>6</v>
      </c>
      <c r="H807" s="9" t="s">
        <v>10</v>
      </c>
      <c r="I807" s="9">
        <v>2</v>
      </c>
      <c r="J807" s="9">
        <v>405</v>
      </c>
      <c r="K807" s="10">
        <v>810</v>
      </c>
      <c r="L807" s="9">
        <f>HOUR([1]restaurant_sales_1200!$B807)</f>
        <v>9</v>
      </c>
      <c r="M807" s="9" t="str">
        <f t="shared" si="3"/>
        <v>Saturday</v>
      </c>
    </row>
    <row r="808" spans="1:13" x14ac:dyDescent="0.25">
      <c r="A808" s="6">
        <v>1807</v>
      </c>
      <c r="B808" s="7">
        <v>45171.690575474538</v>
      </c>
      <c r="C808" s="7">
        <v>45171.690575474538</v>
      </c>
      <c r="D808" s="8">
        <v>45171.690575474538</v>
      </c>
      <c r="E808" s="9" t="s">
        <v>242</v>
      </c>
      <c r="F808" s="9" t="s">
        <v>8</v>
      </c>
      <c r="G808" s="9" t="s">
        <v>6</v>
      </c>
      <c r="H808" s="9" t="s">
        <v>13</v>
      </c>
      <c r="I808" s="9">
        <v>3</v>
      </c>
      <c r="J808" s="9">
        <v>896</v>
      </c>
      <c r="K808" s="10">
        <v>2688</v>
      </c>
      <c r="L808" s="9">
        <f>HOUR([1]restaurant_sales_1200!$B808)</f>
        <v>16</v>
      </c>
      <c r="M808" s="9" t="str">
        <f t="shared" si="3"/>
        <v>Sunday</v>
      </c>
    </row>
    <row r="809" spans="1:13" x14ac:dyDescent="0.25">
      <c r="A809" s="6">
        <v>1808</v>
      </c>
      <c r="B809" s="7">
        <v>45171.994161805553</v>
      </c>
      <c r="C809" s="7">
        <v>45171.994161805553</v>
      </c>
      <c r="D809" s="8">
        <v>45171.994161805553</v>
      </c>
      <c r="E809" s="9" t="s">
        <v>266</v>
      </c>
      <c r="F809" s="9" t="s">
        <v>19</v>
      </c>
      <c r="G809" s="9" t="s">
        <v>15</v>
      </c>
      <c r="H809" s="9" t="s">
        <v>24</v>
      </c>
      <c r="I809" s="9">
        <v>3</v>
      </c>
      <c r="J809" s="9">
        <v>284</v>
      </c>
      <c r="K809" s="10">
        <v>852</v>
      </c>
      <c r="L809" s="9">
        <f>HOUR([1]restaurant_sales_1200!$B809)</f>
        <v>23</v>
      </c>
      <c r="M809" s="9" t="str">
        <f t="shared" si="3"/>
        <v>Monday</v>
      </c>
    </row>
    <row r="810" spans="1:13" x14ac:dyDescent="0.25">
      <c r="A810" s="6">
        <v>1809</v>
      </c>
      <c r="B810" s="7">
        <v>45172.297748124998</v>
      </c>
      <c r="C810" s="7">
        <v>45172.297748124998</v>
      </c>
      <c r="D810" s="8">
        <v>45172.297748124998</v>
      </c>
      <c r="E810" s="9" t="s">
        <v>229</v>
      </c>
      <c r="F810" s="9" t="s">
        <v>5</v>
      </c>
      <c r="G810" s="9" t="s">
        <v>30</v>
      </c>
      <c r="H810" s="9" t="s">
        <v>33</v>
      </c>
      <c r="I810" s="9">
        <v>1</v>
      </c>
      <c r="J810" s="9">
        <v>138</v>
      </c>
      <c r="K810" s="10">
        <v>138</v>
      </c>
      <c r="L810" s="9">
        <f>HOUR([1]restaurant_sales_1200!$B810)</f>
        <v>7</v>
      </c>
      <c r="M810" s="9" t="str">
        <f t="shared" si="3"/>
        <v>Tuesday</v>
      </c>
    </row>
    <row r="811" spans="1:13" x14ac:dyDescent="0.25">
      <c r="A811" s="6">
        <v>1810</v>
      </c>
      <c r="B811" s="7">
        <v>45172.601334444444</v>
      </c>
      <c r="C811" s="7">
        <v>45172.601334444444</v>
      </c>
      <c r="D811" s="8">
        <v>45172.601334444444</v>
      </c>
      <c r="E811" s="9" t="s">
        <v>293</v>
      </c>
      <c r="F811" s="9" t="s">
        <v>1</v>
      </c>
      <c r="G811" s="9" t="s">
        <v>9</v>
      </c>
      <c r="H811" s="9" t="s">
        <v>20</v>
      </c>
      <c r="I811" s="9">
        <v>5</v>
      </c>
      <c r="J811" s="9">
        <v>322</v>
      </c>
      <c r="K811" s="10">
        <v>1610</v>
      </c>
      <c r="L811" s="9">
        <f>HOUR([1]restaurant_sales_1200!$B811)</f>
        <v>14</v>
      </c>
      <c r="M811" s="9" t="str">
        <f t="shared" si="3"/>
        <v>Wednesday</v>
      </c>
    </row>
    <row r="812" spans="1:13" x14ac:dyDescent="0.25">
      <c r="A812" s="6">
        <v>1811</v>
      </c>
      <c r="B812" s="7">
        <v>45172.904920763889</v>
      </c>
      <c r="C812" s="7">
        <v>45172.904920763889</v>
      </c>
      <c r="D812" s="8">
        <v>45172.904920763889</v>
      </c>
      <c r="E812" s="9" t="s">
        <v>23</v>
      </c>
      <c r="F812" s="9" t="s">
        <v>19</v>
      </c>
      <c r="G812" s="9" t="s">
        <v>6</v>
      </c>
      <c r="H812" s="9" t="s">
        <v>26</v>
      </c>
      <c r="I812" s="9">
        <v>4</v>
      </c>
      <c r="J812" s="9">
        <v>283</v>
      </c>
      <c r="K812" s="10">
        <v>1132</v>
      </c>
      <c r="L812" s="9">
        <f>HOUR([1]restaurant_sales_1200!$B812)</f>
        <v>21</v>
      </c>
      <c r="M812" s="9" t="str">
        <f t="shared" si="3"/>
        <v>Thursday</v>
      </c>
    </row>
    <row r="813" spans="1:13" x14ac:dyDescent="0.25">
      <c r="A813" s="6">
        <v>1812</v>
      </c>
      <c r="B813" s="7">
        <v>45173.208507094911</v>
      </c>
      <c r="C813" s="7">
        <v>45173.208507094911</v>
      </c>
      <c r="D813" s="8">
        <v>45173.208507094911</v>
      </c>
      <c r="E813" s="9" t="s">
        <v>272</v>
      </c>
      <c r="F813" s="9" t="s">
        <v>19</v>
      </c>
      <c r="G813" s="9" t="s">
        <v>30</v>
      </c>
      <c r="H813" s="9" t="s">
        <v>47</v>
      </c>
      <c r="I813" s="9">
        <v>2</v>
      </c>
      <c r="J813" s="9">
        <v>594</v>
      </c>
      <c r="K813" s="10">
        <v>1188</v>
      </c>
      <c r="L813" s="9">
        <f>HOUR([1]restaurant_sales_1200!$B813)</f>
        <v>5</v>
      </c>
      <c r="M813" s="9" t="str">
        <f t="shared" si="3"/>
        <v>Friday</v>
      </c>
    </row>
    <row r="814" spans="1:13" x14ac:dyDescent="0.25">
      <c r="A814" s="6">
        <v>1813</v>
      </c>
      <c r="B814" s="7">
        <v>45173.512093414349</v>
      </c>
      <c r="C814" s="7">
        <v>45173.512093414349</v>
      </c>
      <c r="D814" s="8">
        <v>45173.512093414349</v>
      </c>
      <c r="E814" s="9" t="s">
        <v>300</v>
      </c>
      <c r="F814" s="9" t="s">
        <v>5</v>
      </c>
      <c r="G814" s="9" t="s">
        <v>2</v>
      </c>
      <c r="H814" s="9" t="s">
        <v>24</v>
      </c>
      <c r="I814" s="9">
        <v>1</v>
      </c>
      <c r="J814" s="9">
        <v>526</v>
      </c>
      <c r="K814" s="10">
        <v>526</v>
      </c>
      <c r="L814" s="9">
        <f>HOUR([1]restaurant_sales_1200!$B814)</f>
        <v>12</v>
      </c>
      <c r="M814" s="9" t="str">
        <f t="shared" si="3"/>
        <v>Saturday</v>
      </c>
    </row>
    <row r="815" spans="1:13" x14ac:dyDescent="0.25">
      <c r="A815" s="6">
        <v>1814</v>
      </c>
      <c r="B815" s="7">
        <v>45173.815679733794</v>
      </c>
      <c r="C815" s="7">
        <v>45173.815679733794</v>
      </c>
      <c r="D815" s="8">
        <v>45173.815679733794</v>
      </c>
      <c r="E815" s="9" t="s">
        <v>214</v>
      </c>
      <c r="F815" s="9" t="s">
        <v>5</v>
      </c>
      <c r="G815" s="9" t="s">
        <v>15</v>
      </c>
      <c r="H815" s="9" t="s">
        <v>47</v>
      </c>
      <c r="I815" s="9">
        <v>1</v>
      </c>
      <c r="J815" s="9">
        <v>277</v>
      </c>
      <c r="K815" s="10">
        <v>277</v>
      </c>
      <c r="L815" s="9">
        <f>HOUR([1]restaurant_sales_1200!$B815)</f>
        <v>19</v>
      </c>
      <c r="M815" s="9" t="str">
        <f t="shared" si="3"/>
        <v>Sunday</v>
      </c>
    </row>
    <row r="816" spans="1:13" x14ac:dyDescent="0.25">
      <c r="A816" s="6">
        <v>1815</v>
      </c>
      <c r="B816" s="7">
        <v>45174.11926605324</v>
      </c>
      <c r="C816" s="7">
        <v>45174.11926605324</v>
      </c>
      <c r="D816" s="8">
        <v>45174.11926605324</v>
      </c>
      <c r="E816" s="9" t="s">
        <v>69</v>
      </c>
      <c r="F816" s="9" t="s">
        <v>8</v>
      </c>
      <c r="G816" s="9" t="s">
        <v>6</v>
      </c>
      <c r="H816" s="9" t="s">
        <v>16</v>
      </c>
      <c r="I816" s="9">
        <v>2</v>
      </c>
      <c r="J816" s="9">
        <v>527</v>
      </c>
      <c r="K816" s="10">
        <v>1054</v>
      </c>
      <c r="L816" s="9">
        <f>HOUR([1]restaurant_sales_1200!$B816)</f>
        <v>2</v>
      </c>
      <c r="M816" s="9" t="str">
        <f t="shared" si="3"/>
        <v>Monday</v>
      </c>
    </row>
    <row r="817" spans="1:13" x14ac:dyDescent="0.25">
      <c r="A817" s="6">
        <v>1816</v>
      </c>
      <c r="B817" s="7">
        <v>45174.422852372685</v>
      </c>
      <c r="C817" s="7">
        <v>45174.422852372685</v>
      </c>
      <c r="D817" s="8">
        <v>45174.422852372685</v>
      </c>
      <c r="E817" s="9" t="s">
        <v>76</v>
      </c>
      <c r="F817" s="9" t="s">
        <v>8</v>
      </c>
      <c r="G817" s="9" t="s">
        <v>6</v>
      </c>
      <c r="H817" s="9" t="s">
        <v>47</v>
      </c>
      <c r="I817" s="9">
        <v>4</v>
      </c>
      <c r="J817" s="9">
        <v>393</v>
      </c>
      <c r="K817" s="10">
        <v>1572</v>
      </c>
      <c r="L817" s="9">
        <f>HOUR([1]restaurant_sales_1200!$B817)</f>
        <v>10</v>
      </c>
      <c r="M817" s="9" t="str">
        <f t="shared" si="3"/>
        <v>Tuesday</v>
      </c>
    </row>
    <row r="818" spans="1:13" x14ac:dyDescent="0.25">
      <c r="A818" s="6">
        <v>1817</v>
      </c>
      <c r="B818" s="7">
        <v>45174.726438703707</v>
      </c>
      <c r="C818" s="7">
        <v>45174.726438703707</v>
      </c>
      <c r="D818" s="8">
        <v>45174.726438703707</v>
      </c>
      <c r="E818" s="9" t="s">
        <v>29</v>
      </c>
      <c r="F818" s="9" t="s">
        <v>19</v>
      </c>
      <c r="G818" s="9" t="s">
        <v>6</v>
      </c>
      <c r="H818" s="9" t="s">
        <v>47</v>
      </c>
      <c r="I818" s="9">
        <v>1</v>
      </c>
      <c r="J818" s="9">
        <v>951</v>
      </c>
      <c r="K818" s="10">
        <v>951</v>
      </c>
      <c r="L818" s="9">
        <f>HOUR([1]restaurant_sales_1200!$B818)</f>
        <v>17</v>
      </c>
      <c r="M818" s="9" t="str">
        <f t="shared" si="3"/>
        <v>Wednesday</v>
      </c>
    </row>
    <row r="819" spans="1:13" x14ac:dyDescent="0.25">
      <c r="A819" s="6">
        <v>1818</v>
      </c>
      <c r="B819" s="7">
        <v>45175.030025023145</v>
      </c>
      <c r="C819" s="7">
        <v>45175.030025023145</v>
      </c>
      <c r="D819" s="8">
        <v>45175.030025023145</v>
      </c>
      <c r="E819" s="9" t="s">
        <v>52</v>
      </c>
      <c r="F819" s="9" t="s">
        <v>1</v>
      </c>
      <c r="G819" s="9" t="s">
        <v>30</v>
      </c>
      <c r="H819" s="9" t="s">
        <v>26</v>
      </c>
      <c r="I819" s="9">
        <v>1</v>
      </c>
      <c r="J819" s="9">
        <v>250</v>
      </c>
      <c r="K819" s="10">
        <v>250</v>
      </c>
      <c r="L819" s="9">
        <f>HOUR([1]restaurant_sales_1200!$B819)</f>
        <v>0</v>
      </c>
      <c r="M819" s="9" t="str">
        <f t="shared" si="3"/>
        <v>Thursday</v>
      </c>
    </row>
    <row r="820" spans="1:13" x14ac:dyDescent="0.25">
      <c r="A820" s="6">
        <v>1819</v>
      </c>
      <c r="B820" s="7">
        <v>45175.33361134259</v>
      </c>
      <c r="C820" s="7">
        <v>45175.33361134259</v>
      </c>
      <c r="D820" s="8">
        <v>45175.33361134259</v>
      </c>
      <c r="E820" s="9" t="s">
        <v>36</v>
      </c>
      <c r="F820" s="9" t="s">
        <v>8</v>
      </c>
      <c r="G820" s="9" t="s">
        <v>15</v>
      </c>
      <c r="H820" s="9" t="s">
        <v>26</v>
      </c>
      <c r="I820" s="9">
        <v>5</v>
      </c>
      <c r="J820" s="9">
        <v>483</v>
      </c>
      <c r="K820" s="10">
        <v>2415</v>
      </c>
      <c r="L820" s="9">
        <f>HOUR([1]restaurant_sales_1200!$B820)</f>
        <v>8</v>
      </c>
      <c r="M820" s="9" t="str">
        <f t="shared" si="3"/>
        <v>Friday</v>
      </c>
    </row>
    <row r="821" spans="1:13" x14ac:dyDescent="0.25">
      <c r="A821" s="6">
        <v>1820</v>
      </c>
      <c r="B821" s="7">
        <v>45175.637197662036</v>
      </c>
      <c r="C821" s="7">
        <v>45175.637197662036</v>
      </c>
      <c r="D821" s="8">
        <v>45175.637197662036</v>
      </c>
      <c r="E821" s="9" t="s">
        <v>260</v>
      </c>
      <c r="F821" s="9" t="s">
        <v>1</v>
      </c>
      <c r="G821" s="9" t="s">
        <v>15</v>
      </c>
      <c r="H821" s="9" t="s">
        <v>47</v>
      </c>
      <c r="I821" s="9">
        <v>4</v>
      </c>
      <c r="J821" s="9">
        <v>737</v>
      </c>
      <c r="K821" s="10">
        <v>2948</v>
      </c>
      <c r="L821" s="9">
        <f>HOUR([1]restaurant_sales_1200!$B821)</f>
        <v>15</v>
      </c>
      <c r="M821" s="9" t="str">
        <f t="shared" si="3"/>
        <v>Saturday</v>
      </c>
    </row>
    <row r="822" spans="1:13" x14ac:dyDescent="0.25">
      <c r="A822" s="6">
        <v>1821</v>
      </c>
      <c r="B822" s="7">
        <v>45175.940783981481</v>
      </c>
      <c r="C822" s="7">
        <v>45175.940783981481</v>
      </c>
      <c r="D822" s="8">
        <v>45175.940783981481</v>
      </c>
      <c r="E822" s="9" t="s">
        <v>117</v>
      </c>
      <c r="F822" s="9" t="s">
        <v>5</v>
      </c>
      <c r="G822" s="9" t="s">
        <v>30</v>
      </c>
      <c r="H822" s="9" t="s">
        <v>16</v>
      </c>
      <c r="I822" s="9">
        <v>1</v>
      </c>
      <c r="J822" s="9">
        <v>912</v>
      </c>
      <c r="K822" s="10">
        <v>912</v>
      </c>
      <c r="L822" s="9">
        <f>HOUR([1]restaurant_sales_1200!$B822)</f>
        <v>22</v>
      </c>
      <c r="M822" s="9" t="str">
        <f t="shared" si="3"/>
        <v>Sunday</v>
      </c>
    </row>
    <row r="823" spans="1:13" x14ac:dyDescent="0.25">
      <c r="A823" s="6">
        <v>1822</v>
      </c>
      <c r="B823" s="7">
        <v>45176.244370312503</v>
      </c>
      <c r="C823" s="7">
        <v>45176.244370312503</v>
      </c>
      <c r="D823" s="8">
        <v>45176.244370312503</v>
      </c>
      <c r="E823" s="9" t="s">
        <v>208</v>
      </c>
      <c r="F823" s="9" t="s">
        <v>5</v>
      </c>
      <c r="G823" s="9" t="s">
        <v>9</v>
      </c>
      <c r="H823" s="9" t="s">
        <v>13</v>
      </c>
      <c r="I823" s="9">
        <v>4</v>
      </c>
      <c r="J823" s="9">
        <v>407</v>
      </c>
      <c r="K823" s="10">
        <v>1628</v>
      </c>
      <c r="L823" s="9">
        <f>HOUR([1]restaurant_sales_1200!$B823)</f>
        <v>5</v>
      </c>
      <c r="M823" s="9" t="str">
        <f t="shared" si="3"/>
        <v>Monday</v>
      </c>
    </row>
    <row r="824" spans="1:13" x14ac:dyDescent="0.25">
      <c r="A824" s="6">
        <v>1823</v>
      </c>
      <c r="B824" s="7">
        <v>45176.547956631941</v>
      </c>
      <c r="C824" s="7">
        <v>45176.547956631941</v>
      </c>
      <c r="D824" s="8">
        <v>45176.547956631941</v>
      </c>
      <c r="E824" s="9" t="s">
        <v>152</v>
      </c>
      <c r="F824" s="9" t="s">
        <v>8</v>
      </c>
      <c r="G824" s="9" t="s">
        <v>15</v>
      </c>
      <c r="H824" s="9" t="s">
        <v>33</v>
      </c>
      <c r="I824" s="9">
        <v>2</v>
      </c>
      <c r="J824" s="9">
        <v>435</v>
      </c>
      <c r="K824" s="10">
        <v>870</v>
      </c>
      <c r="L824" s="9">
        <f>HOUR([1]restaurant_sales_1200!$B824)</f>
        <v>13</v>
      </c>
      <c r="M824" s="9" t="str">
        <f t="shared" si="3"/>
        <v>Tuesday</v>
      </c>
    </row>
    <row r="825" spans="1:13" x14ac:dyDescent="0.25">
      <c r="A825" s="6">
        <v>1824</v>
      </c>
      <c r="B825" s="7">
        <v>45176.851542951386</v>
      </c>
      <c r="C825" s="7">
        <v>45176.851542951386</v>
      </c>
      <c r="D825" s="8">
        <v>45176.851542951386</v>
      </c>
      <c r="E825" s="9" t="s">
        <v>221</v>
      </c>
      <c r="F825" s="9" t="s">
        <v>19</v>
      </c>
      <c r="G825" s="9" t="s">
        <v>30</v>
      </c>
      <c r="H825" s="9" t="s">
        <v>20</v>
      </c>
      <c r="I825" s="9">
        <v>3</v>
      </c>
      <c r="J825" s="9">
        <v>845</v>
      </c>
      <c r="K825" s="10">
        <v>2535</v>
      </c>
      <c r="L825" s="9">
        <f>HOUR([1]restaurant_sales_1200!$B825)</f>
        <v>20</v>
      </c>
      <c r="M825" s="9" t="str">
        <f t="shared" si="3"/>
        <v>Wednesday</v>
      </c>
    </row>
    <row r="826" spans="1:13" x14ac:dyDescent="0.25">
      <c r="A826" s="6">
        <v>1825</v>
      </c>
      <c r="B826" s="7">
        <v>45177.155129270832</v>
      </c>
      <c r="C826" s="7">
        <v>45177.155129270832</v>
      </c>
      <c r="D826" s="8">
        <v>45177.155129270832</v>
      </c>
      <c r="E826" s="9" t="s">
        <v>75</v>
      </c>
      <c r="F826" s="9" t="s">
        <v>5</v>
      </c>
      <c r="G826" s="9" t="s">
        <v>30</v>
      </c>
      <c r="H826" s="9" t="s">
        <v>16</v>
      </c>
      <c r="I826" s="9">
        <v>1</v>
      </c>
      <c r="J826" s="9">
        <v>991</v>
      </c>
      <c r="K826" s="10">
        <v>991</v>
      </c>
      <c r="L826" s="9">
        <f>HOUR([1]restaurant_sales_1200!$B826)</f>
        <v>3</v>
      </c>
      <c r="M826" s="9" t="str">
        <f t="shared" si="3"/>
        <v>Thursday</v>
      </c>
    </row>
    <row r="827" spans="1:13" x14ac:dyDescent="0.25">
      <c r="A827" s="6">
        <v>1826</v>
      </c>
      <c r="B827" s="7">
        <v>45177.458715601853</v>
      </c>
      <c r="C827" s="7">
        <v>45177.458715601853</v>
      </c>
      <c r="D827" s="8">
        <v>45177.458715601853</v>
      </c>
      <c r="E827" s="9" t="s">
        <v>301</v>
      </c>
      <c r="F827" s="9" t="s">
        <v>1</v>
      </c>
      <c r="G827" s="9" t="s">
        <v>6</v>
      </c>
      <c r="H827" s="9" t="s">
        <v>20</v>
      </c>
      <c r="I827" s="9">
        <v>5</v>
      </c>
      <c r="J827" s="9">
        <v>474</v>
      </c>
      <c r="K827" s="10">
        <v>2370</v>
      </c>
      <c r="L827" s="9">
        <f>HOUR([1]restaurant_sales_1200!$B827)</f>
        <v>11</v>
      </c>
      <c r="M827" s="9" t="str">
        <f t="shared" si="3"/>
        <v>Friday</v>
      </c>
    </row>
    <row r="828" spans="1:13" x14ac:dyDescent="0.25">
      <c r="A828" s="6">
        <v>1827</v>
      </c>
      <c r="B828" s="7">
        <v>45177.762301921299</v>
      </c>
      <c r="C828" s="7">
        <v>45177.762301921299</v>
      </c>
      <c r="D828" s="8">
        <v>45177.762301921299</v>
      </c>
      <c r="E828" s="9" t="s">
        <v>76</v>
      </c>
      <c r="F828" s="9" t="s">
        <v>19</v>
      </c>
      <c r="G828" s="9" t="s">
        <v>30</v>
      </c>
      <c r="H828" s="9" t="s">
        <v>31</v>
      </c>
      <c r="I828" s="9">
        <v>2</v>
      </c>
      <c r="J828" s="9">
        <v>107</v>
      </c>
      <c r="K828" s="10">
        <v>214</v>
      </c>
      <c r="L828" s="9">
        <f>HOUR([1]restaurant_sales_1200!$B828)</f>
        <v>18</v>
      </c>
      <c r="M828" s="9" t="str">
        <f t="shared" si="3"/>
        <v>Saturday</v>
      </c>
    </row>
    <row r="829" spans="1:13" x14ac:dyDescent="0.25">
      <c r="A829" s="6">
        <v>1828</v>
      </c>
      <c r="B829" s="7">
        <v>45178.065888240744</v>
      </c>
      <c r="C829" s="7">
        <v>45178.065888240744</v>
      </c>
      <c r="D829" s="8">
        <v>45178.065888240744</v>
      </c>
      <c r="E829" s="9" t="s">
        <v>155</v>
      </c>
      <c r="F829" s="9" t="s">
        <v>8</v>
      </c>
      <c r="G829" s="9" t="s">
        <v>6</v>
      </c>
      <c r="H829" s="9" t="s">
        <v>3</v>
      </c>
      <c r="I829" s="9">
        <v>4</v>
      </c>
      <c r="J829" s="9">
        <v>440</v>
      </c>
      <c r="K829" s="10">
        <v>1760</v>
      </c>
      <c r="L829" s="9">
        <f>HOUR([1]restaurant_sales_1200!$B829)</f>
        <v>1</v>
      </c>
      <c r="M829" s="9" t="str">
        <f t="shared" si="3"/>
        <v>Sunday</v>
      </c>
    </row>
    <row r="830" spans="1:13" x14ac:dyDescent="0.25">
      <c r="A830" s="6">
        <v>1829</v>
      </c>
      <c r="B830" s="7">
        <v>45178.369474560182</v>
      </c>
      <c r="C830" s="7">
        <v>45178.369474560182</v>
      </c>
      <c r="D830" s="8">
        <v>45178.369474560182</v>
      </c>
      <c r="E830" s="9" t="s">
        <v>145</v>
      </c>
      <c r="F830" s="9" t="s">
        <v>5</v>
      </c>
      <c r="G830" s="9" t="s">
        <v>2</v>
      </c>
      <c r="H830" s="9" t="s">
        <v>13</v>
      </c>
      <c r="I830" s="9">
        <v>2</v>
      </c>
      <c r="J830" s="9">
        <v>228</v>
      </c>
      <c r="K830" s="10">
        <v>456</v>
      </c>
      <c r="L830" s="9">
        <f>HOUR([1]restaurant_sales_1200!$B830)</f>
        <v>8</v>
      </c>
      <c r="M830" s="9" t="str">
        <f t="shared" si="3"/>
        <v>Monday</v>
      </c>
    </row>
    <row r="831" spans="1:13" x14ac:dyDescent="0.25">
      <c r="A831" s="6">
        <v>1830</v>
      </c>
      <c r="B831" s="7">
        <v>45178.673060879628</v>
      </c>
      <c r="C831" s="7">
        <v>45178.673060879628</v>
      </c>
      <c r="D831" s="8">
        <v>45178.673060879628</v>
      </c>
      <c r="E831" s="9" t="s">
        <v>134</v>
      </c>
      <c r="F831" s="9" t="s">
        <v>8</v>
      </c>
      <c r="G831" s="9" t="s">
        <v>30</v>
      </c>
      <c r="H831" s="9" t="s">
        <v>20</v>
      </c>
      <c r="I831" s="9">
        <v>1</v>
      </c>
      <c r="J831" s="9">
        <v>875</v>
      </c>
      <c r="K831" s="10">
        <v>875</v>
      </c>
      <c r="L831" s="9">
        <f>HOUR([1]restaurant_sales_1200!$B831)</f>
        <v>16</v>
      </c>
      <c r="M831" s="9" t="str">
        <f t="shared" si="3"/>
        <v>Tuesday</v>
      </c>
    </row>
    <row r="832" spans="1:13" x14ac:dyDescent="0.25">
      <c r="A832" s="6">
        <v>1831</v>
      </c>
      <c r="B832" s="7">
        <v>45178.976647210649</v>
      </c>
      <c r="C832" s="7">
        <v>45178.976647210649</v>
      </c>
      <c r="D832" s="8">
        <v>45178.976647210649</v>
      </c>
      <c r="E832" s="9" t="s">
        <v>196</v>
      </c>
      <c r="F832" s="9" t="s">
        <v>19</v>
      </c>
      <c r="G832" s="9" t="s">
        <v>15</v>
      </c>
      <c r="H832" s="9" t="s">
        <v>33</v>
      </c>
      <c r="I832" s="9">
        <v>4</v>
      </c>
      <c r="J832" s="9">
        <v>768</v>
      </c>
      <c r="K832" s="10">
        <v>3072</v>
      </c>
      <c r="L832" s="9">
        <f>HOUR([1]restaurant_sales_1200!$B832)</f>
        <v>23</v>
      </c>
      <c r="M832" s="9" t="str">
        <f t="shared" si="3"/>
        <v>Wednesday</v>
      </c>
    </row>
    <row r="833" spans="1:13" x14ac:dyDescent="0.25">
      <c r="A833" s="6">
        <v>1832</v>
      </c>
      <c r="B833" s="7">
        <v>45179.280233530095</v>
      </c>
      <c r="C833" s="7">
        <v>45179.280233530095</v>
      </c>
      <c r="D833" s="8">
        <v>45179.280233530095</v>
      </c>
      <c r="E833" s="9" t="s">
        <v>300</v>
      </c>
      <c r="F833" s="9" t="s">
        <v>19</v>
      </c>
      <c r="G833" s="9" t="s">
        <v>6</v>
      </c>
      <c r="H833" s="9" t="s">
        <v>20</v>
      </c>
      <c r="I833" s="9">
        <v>3</v>
      </c>
      <c r="J833" s="9">
        <v>451</v>
      </c>
      <c r="K833" s="10">
        <v>1353</v>
      </c>
      <c r="L833" s="9">
        <f>HOUR([1]restaurant_sales_1200!$B833)</f>
        <v>6</v>
      </c>
      <c r="M833" s="9" t="str">
        <f t="shared" si="3"/>
        <v>Thursday</v>
      </c>
    </row>
    <row r="834" spans="1:13" x14ac:dyDescent="0.25">
      <c r="A834" s="6">
        <v>1833</v>
      </c>
      <c r="B834" s="7">
        <v>45179.58381984954</v>
      </c>
      <c r="C834" s="7">
        <v>45179.58381984954</v>
      </c>
      <c r="D834" s="8">
        <v>45179.58381984954</v>
      </c>
      <c r="E834" s="9" t="s">
        <v>148</v>
      </c>
      <c r="F834" s="9" t="s">
        <v>19</v>
      </c>
      <c r="G834" s="9" t="s">
        <v>2</v>
      </c>
      <c r="H834" s="9" t="s">
        <v>24</v>
      </c>
      <c r="I834" s="9">
        <v>2</v>
      </c>
      <c r="J834" s="9">
        <v>457</v>
      </c>
      <c r="K834" s="10">
        <v>914</v>
      </c>
      <c r="L834" s="9">
        <f>HOUR([1]restaurant_sales_1200!$B834)</f>
        <v>14</v>
      </c>
      <c r="M834" s="9" t="str">
        <f t="shared" si="3"/>
        <v>Friday</v>
      </c>
    </row>
    <row r="835" spans="1:13" x14ac:dyDescent="0.25">
      <c r="A835" s="6">
        <v>1834</v>
      </c>
      <c r="B835" s="7">
        <v>45179.887406168978</v>
      </c>
      <c r="C835" s="7">
        <v>45179.887406168978</v>
      </c>
      <c r="D835" s="8">
        <v>45179.887406168978</v>
      </c>
      <c r="E835" s="9" t="s">
        <v>56</v>
      </c>
      <c r="F835" s="9" t="s">
        <v>1</v>
      </c>
      <c r="G835" s="9" t="s">
        <v>9</v>
      </c>
      <c r="H835" s="9" t="s">
        <v>13</v>
      </c>
      <c r="I835" s="9">
        <v>1</v>
      </c>
      <c r="J835" s="9">
        <v>616</v>
      </c>
      <c r="K835" s="10">
        <v>616</v>
      </c>
      <c r="L835" s="9">
        <f>HOUR([1]restaurant_sales_1200!$B835)</f>
        <v>21</v>
      </c>
      <c r="M835" s="9" t="str">
        <f t="shared" si="3"/>
        <v>Saturday</v>
      </c>
    </row>
    <row r="836" spans="1:13" x14ac:dyDescent="0.25">
      <c r="A836" s="6">
        <v>1835</v>
      </c>
      <c r="B836" s="7">
        <v>45180.190992488424</v>
      </c>
      <c r="C836" s="7">
        <v>45180.190992488424</v>
      </c>
      <c r="D836" s="8">
        <v>45180.190992488424</v>
      </c>
      <c r="E836" s="9" t="s">
        <v>112</v>
      </c>
      <c r="F836" s="9" t="s">
        <v>19</v>
      </c>
      <c r="G836" s="9" t="s">
        <v>9</v>
      </c>
      <c r="H836" s="9" t="s">
        <v>10</v>
      </c>
      <c r="I836" s="9">
        <v>5</v>
      </c>
      <c r="J836" s="9">
        <v>594</v>
      </c>
      <c r="K836" s="10">
        <v>2970</v>
      </c>
      <c r="L836" s="9">
        <f>HOUR([1]restaurant_sales_1200!$B836)</f>
        <v>4</v>
      </c>
      <c r="M836" s="9" t="str">
        <f t="shared" si="3"/>
        <v>Sunday</v>
      </c>
    </row>
    <row r="837" spans="1:13" x14ac:dyDescent="0.25">
      <c r="A837" s="6">
        <v>1836</v>
      </c>
      <c r="B837" s="7">
        <v>45180.494578819445</v>
      </c>
      <c r="C837" s="7">
        <v>45180.494578819445</v>
      </c>
      <c r="D837" s="8">
        <v>45180.494578819445</v>
      </c>
      <c r="E837" s="9" t="s">
        <v>248</v>
      </c>
      <c r="F837" s="9" t="s">
        <v>19</v>
      </c>
      <c r="G837" s="9" t="s">
        <v>9</v>
      </c>
      <c r="H837" s="9" t="s">
        <v>16</v>
      </c>
      <c r="I837" s="9">
        <v>4</v>
      </c>
      <c r="J837" s="9">
        <v>185</v>
      </c>
      <c r="K837" s="10">
        <v>740</v>
      </c>
      <c r="L837" s="9">
        <f>HOUR([1]restaurant_sales_1200!$B837)</f>
        <v>11</v>
      </c>
      <c r="M837" s="9" t="str">
        <f t="shared" si="3"/>
        <v>Monday</v>
      </c>
    </row>
    <row r="838" spans="1:13" x14ac:dyDescent="0.25">
      <c r="A838" s="6">
        <v>1837</v>
      </c>
      <c r="B838" s="7">
        <v>45180.798165138891</v>
      </c>
      <c r="C838" s="7">
        <v>45180.798165138891</v>
      </c>
      <c r="D838" s="8">
        <v>45180.798165138891</v>
      </c>
      <c r="E838" s="9" t="s">
        <v>173</v>
      </c>
      <c r="F838" s="9" t="s">
        <v>5</v>
      </c>
      <c r="G838" s="9" t="s">
        <v>6</v>
      </c>
      <c r="H838" s="9" t="s">
        <v>16</v>
      </c>
      <c r="I838" s="9">
        <v>2</v>
      </c>
      <c r="J838" s="9">
        <v>274</v>
      </c>
      <c r="K838" s="10">
        <v>548</v>
      </c>
      <c r="L838" s="9">
        <f>HOUR([1]restaurant_sales_1200!$B838)</f>
        <v>19</v>
      </c>
      <c r="M838" s="9" t="str">
        <f t="shared" si="3"/>
        <v>Tuesday</v>
      </c>
    </row>
    <row r="839" spans="1:13" x14ac:dyDescent="0.25">
      <c r="A839" s="6">
        <v>1838</v>
      </c>
      <c r="B839" s="7">
        <v>45181.101751458336</v>
      </c>
      <c r="C839" s="7">
        <v>45181.101751458336</v>
      </c>
      <c r="D839" s="8">
        <v>45181.101751458336</v>
      </c>
      <c r="E839" s="9" t="s">
        <v>213</v>
      </c>
      <c r="F839" s="9" t="s">
        <v>1</v>
      </c>
      <c r="G839" s="9" t="s">
        <v>30</v>
      </c>
      <c r="H839" s="9" t="s">
        <v>33</v>
      </c>
      <c r="I839" s="9">
        <v>2</v>
      </c>
      <c r="J839" s="9">
        <v>901</v>
      </c>
      <c r="K839" s="10">
        <v>1802</v>
      </c>
      <c r="L839" s="9">
        <f>HOUR([1]restaurant_sales_1200!$B839)</f>
        <v>2</v>
      </c>
      <c r="M839" s="9" t="str">
        <f t="shared" si="3"/>
        <v>Wednesday</v>
      </c>
    </row>
    <row r="840" spans="1:13" x14ac:dyDescent="0.25">
      <c r="A840" s="6">
        <v>1839</v>
      </c>
      <c r="B840" s="7">
        <v>45181.405337777775</v>
      </c>
      <c r="C840" s="7">
        <v>45181.405337777775</v>
      </c>
      <c r="D840" s="8">
        <v>45181.405337777775</v>
      </c>
      <c r="E840" s="9" t="s">
        <v>121</v>
      </c>
      <c r="F840" s="9" t="s">
        <v>1</v>
      </c>
      <c r="G840" s="9" t="s">
        <v>6</v>
      </c>
      <c r="H840" s="9" t="s">
        <v>33</v>
      </c>
      <c r="I840" s="9">
        <v>3</v>
      </c>
      <c r="J840" s="9">
        <v>292</v>
      </c>
      <c r="K840" s="10">
        <v>876</v>
      </c>
      <c r="L840" s="9">
        <f>HOUR([1]restaurant_sales_1200!$B840)</f>
        <v>9</v>
      </c>
      <c r="M840" s="9" t="str">
        <f t="shared" si="3"/>
        <v>Thursday</v>
      </c>
    </row>
    <row r="841" spans="1:13" x14ac:dyDescent="0.25">
      <c r="A841" s="6">
        <v>1840</v>
      </c>
      <c r="B841" s="7">
        <v>45181.708924108796</v>
      </c>
      <c r="C841" s="7">
        <v>45181.708924108796</v>
      </c>
      <c r="D841" s="8">
        <v>45181.708924108796</v>
      </c>
      <c r="E841" s="9" t="s">
        <v>128</v>
      </c>
      <c r="F841" s="9" t="s">
        <v>8</v>
      </c>
      <c r="G841" s="9" t="s">
        <v>9</v>
      </c>
      <c r="H841" s="9" t="s">
        <v>13</v>
      </c>
      <c r="I841" s="9">
        <v>3</v>
      </c>
      <c r="J841" s="9">
        <v>410</v>
      </c>
      <c r="K841" s="10">
        <v>1230</v>
      </c>
      <c r="L841" s="9">
        <f>HOUR([1]restaurant_sales_1200!$B841)</f>
        <v>17</v>
      </c>
      <c r="M841" s="9" t="str">
        <f t="shared" si="3"/>
        <v>Friday</v>
      </c>
    </row>
    <row r="842" spans="1:13" x14ac:dyDescent="0.25">
      <c r="A842" s="6">
        <v>1841</v>
      </c>
      <c r="B842" s="7">
        <v>45182.012510428242</v>
      </c>
      <c r="C842" s="7">
        <v>45182.012510428242</v>
      </c>
      <c r="D842" s="8">
        <v>45182.012510428242</v>
      </c>
      <c r="E842" s="9" t="s">
        <v>104</v>
      </c>
      <c r="F842" s="9" t="s">
        <v>19</v>
      </c>
      <c r="G842" s="9" t="s">
        <v>30</v>
      </c>
      <c r="H842" s="9" t="s">
        <v>31</v>
      </c>
      <c r="I842" s="9">
        <v>5</v>
      </c>
      <c r="J842" s="9">
        <v>218</v>
      </c>
      <c r="K842" s="10">
        <v>1090</v>
      </c>
      <c r="L842" s="9">
        <f>HOUR([1]restaurant_sales_1200!$B842)</f>
        <v>0</v>
      </c>
      <c r="M842" s="9" t="str">
        <f t="shared" si="3"/>
        <v>Saturday</v>
      </c>
    </row>
    <row r="843" spans="1:13" x14ac:dyDescent="0.25">
      <c r="A843" s="6">
        <v>1842</v>
      </c>
      <c r="B843" s="7">
        <v>45182.316096747687</v>
      </c>
      <c r="C843" s="7">
        <v>45182.316096747687</v>
      </c>
      <c r="D843" s="8">
        <v>45182.316096747687</v>
      </c>
      <c r="E843" s="9" t="s">
        <v>148</v>
      </c>
      <c r="F843" s="9" t="s">
        <v>5</v>
      </c>
      <c r="G843" s="9" t="s">
        <v>2</v>
      </c>
      <c r="H843" s="9" t="s">
        <v>24</v>
      </c>
      <c r="I843" s="9">
        <v>5</v>
      </c>
      <c r="J843" s="9">
        <v>317</v>
      </c>
      <c r="K843" s="10">
        <v>1585</v>
      </c>
      <c r="L843" s="9">
        <f>HOUR([1]restaurant_sales_1200!$B843)</f>
        <v>7</v>
      </c>
      <c r="M843" s="9" t="str">
        <f t="shared" si="3"/>
        <v>Sunday</v>
      </c>
    </row>
    <row r="844" spans="1:13" x14ac:dyDescent="0.25">
      <c r="A844" s="6">
        <v>1843</v>
      </c>
      <c r="B844" s="7">
        <v>45182.619683067132</v>
      </c>
      <c r="C844" s="7">
        <v>45182.619683067132</v>
      </c>
      <c r="D844" s="8">
        <v>45182.619683067132</v>
      </c>
      <c r="E844" s="9" t="s">
        <v>193</v>
      </c>
      <c r="F844" s="9" t="s">
        <v>8</v>
      </c>
      <c r="G844" s="9" t="s">
        <v>9</v>
      </c>
      <c r="H844" s="9" t="s">
        <v>3</v>
      </c>
      <c r="I844" s="9">
        <v>1</v>
      </c>
      <c r="J844" s="9">
        <v>526</v>
      </c>
      <c r="K844" s="10">
        <v>526</v>
      </c>
      <c r="L844" s="9">
        <f>HOUR([1]restaurant_sales_1200!$B844)</f>
        <v>14</v>
      </c>
      <c r="M844" s="9" t="str">
        <f t="shared" si="3"/>
        <v>Monday</v>
      </c>
    </row>
    <row r="845" spans="1:13" x14ac:dyDescent="0.25">
      <c r="A845" s="6">
        <v>1844</v>
      </c>
      <c r="B845" s="7">
        <v>45182.923269386571</v>
      </c>
      <c r="C845" s="7">
        <v>45182.923269386571</v>
      </c>
      <c r="D845" s="8">
        <v>45182.923269386571</v>
      </c>
      <c r="E845" s="9" t="s">
        <v>197</v>
      </c>
      <c r="F845" s="9" t="s">
        <v>19</v>
      </c>
      <c r="G845" s="9" t="s">
        <v>15</v>
      </c>
      <c r="H845" s="9" t="s">
        <v>3</v>
      </c>
      <c r="I845" s="9">
        <v>1</v>
      </c>
      <c r="J845" s="9">
        <v>513</v>
      </c>
      <c r="K845" s="10">
        <v>513</v>
      </c>
      <c r="L845" s="9">
        <f>HOUR([1]restaurant_sales_1200!$B845)</f>
        <v>22</v>
      </c>
      <c r="M845" s="9" t="str">
        <f t="shared" si="3"/>
        <v>Tuesday</v>
      </c>
    </row>
    <row r="846" spans="1:13" x14ac:dyDescent="0.25">
      <c r="A846" s="6">
        <v>1845</v>
      </c>
      <c r="B846" s="7">
        <v>45183.226855717592</v>
      </c>
      <c r="C846" s="7">
        <v>45183.226855717592</v>
      </c>
      <c r="D846" s="8">
        <v>45183.226855717592</v>
      </c>
      <c r="E846" s="9" t="s">
        <v>285</v>
      </c>
      <c r="F846" s="9" t="s">
        <v>1</v>
      </c>
      <c r="G846" s="9" t="s">
        <v>30</v>
      </c>
      <c r="H846" s="9" t="s">
        <v>26</v>
      </c>
      <c r="I846" s="9">
        <v>5</v>
      </c>
      <c r="J846" s="9">
        <v>213</v>
      </c>
      <c r="K846" s="10">
        <v>1065</v>
      </c>
      <c r="L846" s="9">
        <f>HOUR([1]restaurant_sales_1200!$B846)</f>
        <v>5</v>
      </c>
      <c r="M846" s="9" t="str">
        <f t="shared" si="3"/>
        <v>Wednesday</v>
      </c>
    </row>
    <row r="847" spans="1:13" x14ac:dyDescent="0.25">
      <c r="A847" s="6">
        <v>1846</v>
      </c>
      <c r="B847" s="7">
        <v>45183.530442037038</v>
      </c>
      <c r="C847" s="7">
        <v>45183.530442037038</v>
      </c>
      <c r="D847" s="8">
        <v>45183.530442037038</v>
      </c>
      <c r="E847" s="9" t="s">
        <v>131</v>
      </c>
      <c r="F847" s="9" t="s">
        <v>19</v>
      </c>
      <c r="G847" s="9" t="s">
        <v>6</v>
      </c>
      <c r="H847" s="9" t="s">
        <v>24</v>
      </c>
      <c r="I847" s="9">
        <v>5</v>
      </c>
      <c r="J847" s="9">
        <v>244</v>
      </c>
      <c r="K847" s="10">
        <v>1220</v>
      </c>
      <c r="L847" s="9">
        <f>HOUR([1]restaurant_sales_1200!$B847)</f>
        <v>12</v>
      </c>
      <c r="M847" s="9" t="str">
        <f t="shared" si="3"/>
        <v>Thursday</v>
      </c>
    </row>
    <row r="848" spans="1:13" x14ac:dyDescent="0.25">
      <c r="A848" s="6">
        <v>1847</v>
      </c>
      <c r="B848" s="7">
        <v>45183.834028356483</v>
      </c>
      <c r="C848" s="7">
        <v>45183.834028356483</v>
      </c>
      <c r="D848" s="8">
        <v>45183.834028356483</v>
      </c>
      <c r="E848" s="9" t="s">
        <v>114</v>
      </c>
      <c r="F848" s="9" t="s">
        <v>19</v>
      </c>
      <c r="G848" s="9" t="s">
        <v>6</v>
      </c>
      <c r="H848" s="9" t="s">
        <v>26</v>
      </c>
      <c r="I848" s="9">
        <v>4</v>
      </c>
      <c r="J848" s="9">
        <v>637</v>
      </c>
      <c r="K848" s="10">
        <v>2548</v>
      </c>
      <c r="L848" s="9">
        <f>HOUR([1]restaurant_sales_1200!$B848)</f>
        <v>20</v>
      </c>
      <c r="M848" s="9" t="str">
        <f t="shared" si="3"/>
        <v>Friday</v>
      </c>
    </row>
    <row r="849" spans="1:13" x14ac:dyDescent="0.25">
      <c r="A849" s="6">
        <v>1848</v>
      </c>
      <c r="B849" s="7">
        <v>45184.137614675928</v>
      </c>
      <c r="C849" s="7">
        <v>45184.137614675928</v>
      </c>
      <c r="D849" s="8">
        <v>45184.137614675928</v>
      </c>
      <c r="E849" s="9" t="s">
        <v>34</v>
      </c>
      <c r="F849" s="9" t="s">
        <v>5</v>
      </c>
      <c r="G849" s="9" t="s">
        <v>15</v>
      </c>
      <c r="H849" s="9" t="s">
        <v>47</v>
      </c>
      <c r="I849" s="9">
        <v>3</v>
      </c>
      <c r="J849" s="9">
        <v>747</v>
      </c>
      <c r="K849" s="10">
        <v>2241</v>
      </c>
      <c r="L849" s="9">
        <f>HOUR([1]restaurant_sales_1200!$B849)</f>
        <v>3</v>
      </c>
      <c r="M849" s="9" t="str">
        <f t="shared" si="3"/>
        <v>Saturday</v>
      </c>
    </row>
    <row r="850" spans="1:13" x14ac:dyDescent="0.25">
      <c r="A850" s="6">
        <v>1849</v>
      </c>
      <c r="B850" s="7">
        <v>45184.441200995374</v>
      </c>
      <c r="C850" s="7">
        <v>45184.441200995374</v>
      </c>
      <c r="D850" s="8">
        <v>45184.441200995374</v>
      </c>
      <c r="E850" s="9" t="s">
        <v>105</v>
      </c>
      <c r="F850" s="9" t="s">
        <v>5</v>
      </c>
      <c r="G850" s="9" t="s">
        <v>6</v>
      </c>
      <c r="H850" s="9" t="s">
        <v>10</v>
      </c>
      <c r="I850" s="9">
        <v>1</v>
      </c>
      <c r="J850" s="9">
        <v>402</v>
      </c>
      <c r="K850" s="10">
        <v>402</v>
      </c>
      <c r="L850" s="9">
        <f>HOUR([1]restaurant_sales_1200!$B850)</f>
        <v>10</v>
      </c>
      <c r="M850" s="9" t="str">
        <f t="shared" si="3"/>
        <v>Sunday</v>
      </c>
    </row>
    <row r="851" spans="1:13" x14ac:dyDescent="0.25">
      <c r="A851" s="6">
        <v>1850</v>
      </c>
      <c r="B851" s="7">
        <v>45184.744787326388</v>
      </c>
      <c r="C851" s="7">
        <v>45184.744787326388</v>
      </c>
      <c r="D851" s="8">
        <v>45184.744787326388</v>
      </c>
      <c r="E851" s="9" t="s">
        <v>84</v>
      </c>
      <c r="F851" s="9" t="s">
        <v>5</v>
      </c>
      <c r="G851" s="9" t="s">
        <v>15</v>
      </c>
      <c r="H851" s="9" t="s">
        <v>10</v>
      </c>
      <c r="I851" s="9">
        <v>3</v>
      </c>
      <c r="J851" s="9">
        <v>843</v>
      </c>
      <c r="K851" s="10">
        <v>2529</v>
      </c>
      <c r="L851" s="9">
        <f>HOUR([1]restaurant_sales_1200!$B851)</f>
        <v>17</v>
      </c>
      <c r="M851" s="9" t="str">
        <f t="shared" si="3"/>
        <v>Monday</v>
      </c>
    </row>
    <row r="852" spans="1:13" x14ac:dyDescent="0.25">
      <c r="A852" s="6">
        <v>1851</v>
      </c>
      <c r="B852" s="7">
        <v>45185.048373645834</v>
      </c>
      <c r="C852" s="7">
        <v>45185.048373645834</v>
      </c>
      <c r="D852" s="8">
        <v>45185.048373645834</v>
      </c>
      <c r="E852" s="9" t="s">
        <v>255</v>
      </c>
      <c r="F852" s="9" t="s">
        <v>8</v>
      </c>
      <c r="G852" s="9" t="s">
        <v>9</v>
      </c>
      <c r="H852" s="9" t="s">
        <v>13</v>
      </c>
      <c r="I852" s="9">
        <v>3</v>
      </c>
      <c r="J852" s="9">
        <v>980</v>
      </c>
      <c r="K852" s="10">
        <v>2940</v>
      </c>
      <c r="L852" s="9">
        <f>HOUR([1]restaurant_sales_1200!$B852)</f>
        <v>1</v>
      </c>
      <c r="M852" s="9" t="str">
        <f t="shared" si="3"/>
        <v>Tuesday</v>
      </c>
    </row>
    <row r="853" spans="1:13" x14ac:dyDescent="0.25">
      <c r="A853" s="6">
        <v>1852</v>
      </c>
      <c r="B853" s="7">
        <v>45185.351959965279</v>
      </c>
      <c r="C853" s="7">
        <v>45185.351959965279</v>
      </c>
      <c r="D853" s="8">
        <v>45185.351959965279</v>
      </c>
      <c r="E853" s="9" t="s">
        <v>154</v>
      </c>
      <c r="F853" s="9" t="s">
        <v>5</v>
      </c>
      <c r="G853" s="9" t="s">
        <v>9</v>
      </c>
      <c r="H853" s="9" t="s">
        <v>26</v>
      </c>
      <c r="I853" s="9">
        <v>5</v>
      </c>
      <c r="J853" s="9">
        <v>687</v>
      </c>
      <c r="K853" s="10">
        <v>3435</v>
      </c>
      <c r="L853" s="9">
        <f>HOUR([1]restaurant_sales_1200!$B853)</f>
        <v>8</v>
      </c>
      <c r="M853" s="9" t="str">
        <f t="shared" si="3"/>
        <v>Wednesday</v>
      </c>
    </row>
    <row r="854" spans="1:13" x14ac:dyDescent="0.25">
      <c r="A854" s="6">
        <v>1853</v>
      </c>
      <c r="B854" s="7">
        <v>45185.655546284725</v>
      </c>
      <c r="C854" s="7">
        <v>45185.655546284725</v>
      </c>
      <c r="D854" s="8">
        <v>45185.655546284725</v>
      </c>
      <c r="E854" s="9" t="s">
        <v>87</v>
      </c>
      <c r="F854" s="9" t="s">
        <v>8</v>
      </c>
      <c r="G854" s="9" t="s">
        <v>6</v>
      </c>
      <c r="H854" s="9" t="s">
        <v>31</v>
      </c>
      <c r="I854" s="9">
        <v>4</v>
      </c>
      <c r="J854" s="9">
        <v>939</v>
      </c>
      <c r="K854" s="10">
        <v>3756</v>
      </c>
      <c r="L854" s="9">
        <f>HOUR([1]restaurant_sales_1200!$B854)</f>
        <v>15</v>
      </c>
      <c r="M854" s="9" t="str">
        <f t="shared" si="3"/>
        <v>Thursday</v>
      </c>
    </row>
    <row r="855" spans="1:13" x14ac:dyDescent="0.25">
      <c r="A855" s="6">
        <v>1854</v>
      </c>
      <c r="B855" s="7">
        <v>45185.959132615739</v>
      </c>
      <c r="C855" s="7">
        <v>45185.959132615739</v>
      </c>
      <c r="D855" s="8">
        <v>45185.959132615739</v>
      </c>
      <c r="E855" s="9" t="s">
        <v>62</v>
      </c>
      <c r="F855" s="9" t="s">
        <v>19</v>
      </c>
      <c r="G855" s="9" t="s">
        <v>30</v>
      </c>
      <c r="H855" s="9" t="s">
        <v>24</v>
      </c>
      <c r="I855" s="9">
        <v>2</v>
      </c>
      <c r="J855" s="9">
        <v>444</v>
      </c>
      <c r="K855" s="10">
        <v>888</v>
      </c>
      <c r="L855" s="9">
        <f>HOUR([1]restaurant_sales_1200!$B855)</f>
        <v>23</v>
      </c>
      <c r="M855" s="9" t="str">
        <f t="shared" si="3"/>
        <v>Friday</v>
      </c>
    </row>
    <row r="856" spans="1:13" x14ac:dyDescent="0.25">
      <c r="A856" s="6">
        <v>1855</v>
      </c>
      <c r="B856" s="7">
        <v>45186.262718935184</v>
      </c>
      <c r="C856" s="7">
        <v>45186.262718935184</v>
      </c>
      <c r="D856" s="8">
        <v>45186.262718935184</v>
      </c>
      <c r="E856" s="9" t="s">
        <v>197</v>
      </c>
      <c r="F856" s="9" t="s">
        <v>8</v>
      </c>
      <c r="G856" s="9" t="s">
        <v>6</v>
      </c>
      <c r="H856" s="9" t="s">
        <v>3</v>
      </c>
      <c r="I856" s="9">
        <v>4</v>
      </c>
      <c r="J856" s="9">
        <v>913</v>
      </c>
      <c r="K856" s="10">
        <v>3652</v>
      </c>
      <c r="L856" s="9">
        <f>HOUR([1]restaurant_sales_1200!$B856)</f>
        <v>6</v>
      </c>
      <c r="M856" s="9" t="str">
        <f t="shared" si="3"/>
        <v>Saturday</v>
      </c>
    </row>
    <row r="857" spans="1:13" x14ac:dyDescent="0.25">
      <c r="A857" s="6">
        <v>1856</v>
      </c>
      <c r="B857" s="7">
        <v>45186.56630525463</v>
      </c>
      <c r="C857" s="7">
        <v>45186.56630525463</v>
      </c>
      <c r="D857" s="8">
        <v>45186.56630525463</v>
      </c>
      <c r="E857" s="9" t="s">
        <v>245</v>
      </c>
      <c r="F857" s="9" t="s">
        <v>8</v>
      </c>
      <c r="G857" s="9" t="s">
        <v>9</v>
      </c>
      <c r="H857" s="9" t="s">
        <v>10</v>
      </c>
      <c r="I857" s="9">
        <v>4</v>
      </c>
      <c r="J857" s="9">
        <v>900</v>
      </c>
      <c r="K857" s="10">
        <v>3600</v>
      </c>
      <c r="L857" s="9">
        <f>HOUR([1]restaurant_sales_1200!$B857)</f>
        <v>13</v>
      </c>
      <c r="M857" s="9" t="str">
        <f t="shared" si="3"/>
        <v>Sunday</v>
      </c>
    </row>
    <row r="858" spans="1:13" x14ac:dyDescent="0.25">
      <c r="A858" s="6">
        <v>1857</v>
      </c>
      <c r="B858" s="7">
        <v>45186.869891574075</v>
      </c>
      <c r="C858" s="7">
        <v>45186.869891574075</v>
      </c>
      <c r="D858" s="8">
        <v>45186.869891574075</v>
      </c>
      <c r="E858" s="9" t="s">
        <v>229</v>
      </c>
      <c r="F858" s="9" t="s">
        <v>5</v>
      </c>
      <c r="G858" s="9" t="s">
        <v>30</v>
      </c>
      <c r="H858" s="9" t="s">
        <v>20</v>
      </c>
      <c r="I858" s="9">
        <v>3</v>
      </c>
      <c r="J858" s="9">
        <v>100</v>
      </c>
      <c r="K858" s="10">
        <v>300</v>
      </c>
      <c r="L858" s="9">
        <f>HOUR([1]restaurant_sales_1200!$B858)</f>
        <v>20</v>
      </c>
      <c r="M858" s="9" t="str">
        <f t="shared" si="3"/>
        <v>Monday</v>
      </c>
    </row>
    <row r="859" spans="1:13" x14ac:dyDescent="0.25">
      <c r="A859" s="6">
        <v>1858</v>
      </c>
      <c r="B859" s="7">
        <v>45187.173477893521</v>
      </c>
      <c r="C859" s="7">
        <v>45187.173477893521</v>
      </c>
      <c r="D859" s="8">
        <v>45187.173477893521</v>
      </c>
      <c r="E859" s="9" t="s">
        <v>261</v>
      </c>
      <c r="F859" s="9" t="s">
        <v>5</v>
      </c>
      <c r="G859" s="9" t="s">
        <v>15</v>
      </c>
      <c r="H859" s="9" t="s">
        <v>24</v>
      </c>
      <c r="I859" s="9">
        <v>4</v>
      </c>
      <c r="J859" s="9">
        <v>246</v>
      </c>
      <c r="K859" s="10">
        <v>984</v>
      </c>
      <c r="L859" s="9">
        <f>HOUR([1]restaurant_sales_1200!$B859)</f>
        <v>4</v>
      </c>
      <c r="M859" s="9" t="str">
        <f t="shared" si="3"/>
        <v>Tuesday</v>
      </c>
    </row>
    <row r="860" spans="1:13" x14ac:dyDescent="0.25">
      <c r="A860" s="6">
        <v>1859</v>
      </c>
      <c r="B860" s="7">
        <v>45187.477064224535</v>
      </c>
      <c r="C860" s="7">
        <v>45187.477064224535</v>
      </c>
      <c r="D860" s="8">
        <v>45187.477064224535</v>
      </c>
      <c r="E860" s="9" t="s">
        <v>178</v>
      </c>
      <c r="F860" s="9" t="s">
        <v>1</v>
      </c>
      <c r="G860" s="9" t="s">
        <v>9</v>
      </c>
      <c r="H860" s="9" t="s">
        <v>10</v>
      </c>
      <c r="I860" s="9">
        <v>1</v>
      </c>
      <c r="J860" s="9">
        <v>386</v>
      </c>
      <c r="K860" s="10">
        <v>386</v>
      </c>
      <c r="L860" s="9">
        <f>HOUR([1]restaurant_sales_1200!$B860)</f>
        <v>11</v>
      </c>
      <c r="M860" s="9" t="str">
        <f t="shared" si="3"/>
        <v>Wednesday</v>
      </c>
    </row>
    <row r="861" spans="1:13" x14ac:dyDescent="0.25">
      <c r="A861" s="6">
        <v>1860</v>
      </c>
      <c r="B861" s="7">
        <v>45187.78065054398</v>
      </c>
      <c r="C861" s="7">
        <v>45187.78065054398</v>
      </c>
      <c r="D861" s="8">
        <v>45187.78065054398</v>
      </c>
      <c r="E861" s="9" t="s">
        <v>40</v>
      </c>
      <c r="F861" s="9" t="s">
        <v>8</v>
      </c>
      <c r="G861" s="9" t="s">
        <v>15</v>
      </c>
      <c r="H861" s="9" t="s">
        <v>13</v>
      </c>
      <c r="I861" s="9">
        <v>3</v>
      </c>
      <c r="J861" s="9">
        <v>753</v>
      </c>
      <c r="K861" s="10">
        <v>2259</v>
      </c>
      <c r="L861" s="9">
        <f>HOUR([1]restaurant_sales_1200!$B861)</f>
        <v>18</v>
      </c>
      <c r="M861" s="9" t="str">
        <f t="shared" si="3"/>
        <v>Thursday</v>
      </c>
    </row>
    <row r="862" spans="1:13" x14ac:dyDescent="0.25">
      <c r="A862" s="6">
        <v>1861</v>
      </c>
      <c r="B862" s="7">
        <v>45188.084236863426</v>
      </c>
      <c r="C862" s="7">
        <v>45188.084236863426</v>
      </c>
      <c r="D862" s="8">
        <v>45188.084236863426</v>
      </c>
      <c r="E862" s="9" t="s">
        <v>302</v>
      </c>
      <c r="F862" s="9" t="s">
        <v>19</v>
      </c>
      <c r="G862" s="9" t="s">
        <v>2</v>
      </c>
      <c r="H862" s="9" t="s">
        <v>13</v>
      </c>
      <c r="I862" s="9">
        <v>1</v>
      </c>
      <c r="J862" s="9">
        <v>152</v>
      </c>
      <c r="K862" s="10">
        <v>152</v>
      </c>
      <c r="L862" s="9">
        <f>HOUR([1]restaurant_sales_1200!$B862)</f>
        <v>2</v>
      </c>
      <c r="M862" s="9" t="str">
        <f t="shared" si="3"/>
        <v>Friday</v>
      </c>
    </row>
    <row r="863" spans="1:13" x14ac:dyDescent="0.25">
      <c r="A863" s="6">
        <v>1862</v>
      </c>
      <c r="B863" s="7">
        <v>45188.387823182871</v>
      </c>
      <c r="C863" s="7">
        <v>45188.387823182871</v>
      </c>
      <c r="D863" s="8">
        <v>45188.387823182871</v>
      </c>
      <c r="E863" s="9" t="s">
        <v>98</v>
      </c>
      <c r="F863" s="9" t="s">
        <v>1</v>
      </c>
      <c r="G863" s="9" t="s">
        <v>30</v>
      </c>
      <c r="H863" s="9" t="s">
        <v>16</v>
      </c>
      <c r="I863" s="9">
        <v>2</v>
      </c>
      <c r="J863" s="9">
        <v>403</v>
      </c>
      <c r="K863" s="10">
        <v>806</v>
      </c>
      <c r="L863" s="9">
        <f>HOUR([1]restaurant_sales_1200!$B863)</f>
        <v>9</v>
      </c>
      <c r="M863" s="9" t="str">
        <f t="shared" si="3"/>
        <v>Saturday</v>
      </c>
    </row>
    <row r="864" spans="1:13" x14ac:dyDescent="0.25">
      <c r="A864" s="6">
        <v>1863</v>
      </c>
      <c r="B864" s="7">
        <v>45188.691409502317</v>
      </c>
      <c r="C864" s="7">
        <v>45188.691409502317</v>
      </c>
      <c r="D864" s="8">
        <v>45188.691409502317</v>
      </c>
      <c r="E864" s="9" t="s">
        <v>236</v>
      </c>
      <c r="F864" s="9" t="s">
        <v>1</v>
      </c>
      <c r="G864" s="9" t="s">
        <v>9</v>
      </c>
      <c r="H864" s="9" t="s">
        <v>16</v>
      </c>
      <c r="I864" s="9">
        <v>3</v>
      </c>
      <c r="J864" s="9">
        <v>168</v>
      </c>
      <c r="K864" s="10">
        <v>504</v>
      </c>
      <c r="L864" s="9">
        <f>HOUR([1]restaurant_sales_1200!$B864)</f>
        <v>16</v>
      </c>
      <c r="M864" s="9" t="str">
        <f t="shared" si="3"/>
        <v>Sunday</v>
      </c>
    </row>
    <row r="865" spans="1:13" x14ac:dyDescent="0.25">
      <c r="A865" s="6">
        <v>1864</v>
      </c>
      <c r="B865" s="7">
        <v>45188.994995833331</v>
      </c>
      <c r="C865" s="7">
        <v>45188.994995833331</v>
      </c>
      <c r="D865" s="8">
        <v>45188.994995833331</v>
      </c>
      <c r="E865" s="9" t="s">
        <v>288</v>
      </c>
      <c r="F865" s="9" t="s">
        <v>1</v>
      </c>
      <c r="G865" s="9" t="s">
        <v>15</v>
      </c>
      <c r="H865" s="9" t="s">
        <v>26</v>
      </c>
      <c r="I865" s="9">
        <v>2</v>
      </c>
      <c r="J865" s="9">
        <v>460</v>
      </c>
      <c r="K865" s="10">
        <v>920</v>
      </c>
      <c r="L865" s="9">
        <f>HOUR([1]restaurant_sales_1200!$B865)</f>
        <v>23</v>
      </c>
      <c r="M865" s="9" t="str">
        <f t="shared" si="3"/>
        <v>Monday</v>
      </c>
    </row>
    <row r="866" spans="1:13" x14ac:dyDescent="0.25">
      <c r="A866" s="6">
        <v>1865</v>
      </c>
      <c r="B866" s="7">
        <v>45189.298582152776</v>
      </c>
      <c r="C866" s="7">
        <v>45189.298582152776</v>
      </c>
      <c r="D866" s="8">
        <v>45189.298582152776</v>
      </c>
      <c r="E866" s="9" t="s">
        <v>105</v>
      </c>
      <c r="F866" s="9" t="s">
        <v>5</v>
      </c>
      <c r="G866" s="9" t="s">
        <v>15</v>
      </c>
      <c r="H866" s="9" t="s">
        <v>33</v>
      </c>
      <c r="I866" s="9">
        <v>3</v>
      </c>
      <c r="J866" s="9">
        <v>701</v>
      </c>
      <c r="K866" s="10">
        <v>2103</v>
      </c>
      <c r="L866" s="9">
        <f>HOUR([1]restaurant_sales_1200!$B866)</f>
        <v>7</v>
      </c>
      <c r="M866" s="9" t="str">
        <f t="shared" si="3"/>
        <v>Tuesday</v>
      </c>
    </row>
    <row r="867" spans="1:13" x14ac:dyDescent="0.25">
      <c r="A867" s="6">
        <v>1866</v>
      </c>
      <c r="B867" s="7">
        <v>45189.602168472222</v>
      </c>
      <c r="C867" s="7">
        <v>45189.602168472222</v>
      </c>
      <c r="D867" s="8">
        <v>45189.602168472222</v>
      </c>
      <c r="E867" s="9" t="s">
        <v>229</v>
      </c>
      <c r="F867" s="9" t="s">
        <v>5</v>
      </c>
      <c r="G867" s="9" t="s">
        <v>15</v>
      </c>
      <c r="H867" s="9" t="s">
        <v>24</v>
      </c>
      <c r="I867" s="9">
        <v>5</v>
      </c>
      <c r="J867" s="9">
        <v>319</v>
      </c>
      <c r="K867" s="10">
        <v>1595</v>
      </c>
      <c r="L867" s="9">
        <f>HOUR([1]restaurant_sales_1200!$B867)</f>
        <v>14</v>
      </c>
      <c r="M867" s="9" t="str">
        <f t="shared" si="3"/>
        <v>Wednesday</v>
      </c>
    </row>
    <row r="868" spans="1:13" x14ac:dyDescent="0.25">
      <c r="A868" s="6">
        <v>1867</v>
      </c>
      <c r="B868" s="7">
        <v>45189.905754791667</v>
      </c>
      <c r="C868" s="7">
        <v>45189.905754791667</v>
      </c>
      <c r="D868" s="8">
        <v>45189.905754791667</v>
      </c>
      <c r="E868" s="9" t="s">
        <v>206</v>
      </c>
      <c r="F868" s="9" t="s">
        <v>5</v>
      </c>
      <c r="G868" s="9" t="s">
        <v>6</v>
      </c>
      <c r="H868" s="9" t="s">
        <v>47</v>
      </c>
      <c r="I868" s="9">
        <v>4</v>
      </c>
      <c r="J868" s="9">
        <v>803</v>
      </c>
      <c r="K868" s="10">
        <v>3212</v>
      </c>
      <c r="L868" s="9">
        <f>HOUR([1]restaurant_sales_1200!$B868)</f>
        <v>21</v>
      </c>
      <c r="M868" s="9" t="str">
        <f t="shared" si="3"/>
        <v>Thursday</v>
      </c>
    </row>
    <row r="869" spans="1:13" x14ac:dyDescent="0.25">
      <c r="A869" s="6">
        <v>1868</v>
      </c>
      <c r="B869" s="7">
        <v>45190.209341122689</v>
      </c>
      <c r="C869" s="7">
        <v>45190.209341122689</v>
      </c>
      <c r="D869" s="8">
        <v>45190.209341122689</v>
      </c>
      <c r="E869" s="9" t="s">
        <v>242</v>
      </c>
      <c r="F869" s="9" t="s">
        <v>19</v>
      </c>
      <c r="G869" s="9" t="s">
        <v>6</v>
      </c>
      <c r="H869" s="9" t="s">
        <v>16</v>
      </c>
      <c r="I869" s="9">
        <v>5</v>
      </c>
      <c r="J869" s="9">
        <v>674</v>
      </c>
      <c r="K869" s="10">
        <v>3370</v>
      </c>
      <c r="L869" s="9">
        <f>HOUR([1]restaurant_sales_1200!$B869)</f>
        <v>5</v>
      </c>
      <c r="M869" s="9" t="str">
        <f t="shared" si="3"/>
        <v>Friday</v>
      </c>
    </row>
    <row r="870" spans="1:13" x14ac:dyDescent="0.25">
      <c r="A870" s="6">
        <v>1869</v>
      </c>
      <c r="B870" s="7">
        <v>45190.512927442127</v>
      </c>
      <c r="C870" s="7">
        <v>45190.512927442127</v>
      </c>
      <c r="D870" s="8">
        <v>45190.512927442127</v>
      </c>
      <c r="E870" s="9" t="s">
        <v>218</v>
      </c>
      <c r="F870" s="9" t="s">
        <v>8</v>
      </c>
      <c r="G870" s="9" t="s">
        <v>2</v>
      </c>
      <c r="H870" s="9" t="s">
        <v>47</v>
      </c>
      <c r="I870" s="9">
        <v>2</v>
      </c>
      <c r="J870" s="9">
        <v>684</v>
      </c>
      <c r="K870" s="10">
        <v>1368</v>
      </c>
      <c r="L870" s="9">
        <f>HOUR([1]restaurant_sales_1200!$B870)</f>
        <v>12</v>
      </c>
      <c r="M870" s="9" t="str">
        <f t="shared" si="3"/>
        <v>Saturday</v>
      </c>
    </row>
    <row r="871" spans="1:13" x14ac:dyDescent="0.25">
      <c r="A871" s="6">
        <v>1870</v>
      </c>
      <c r="B871" s="7">
        <v>45190.816513761572</v>
      </c>
      <c r="C871" s="7">
        <v>45190.816513761572</v>
      </c>
      <c r="D871" s="8">
        <v>45190.816513761572</v>
      </c>
      <c r="E871" s="9" t="s">
        <v>249</v>
      </c>
      <c r="F871" s="9" t="s">
        <v>1</v>
      </c>
      <c r="G871" s="9" t="s">
        <v>2</v>
      </c>
      <c r="H871" s="9" t="s">
        <v>20</v>
      </c>
      <c r="I871" s="9">
        <v>4</v>
      </c>
      <c r="J871" s="9">
        <v>260</v>
      </c>
      <c r="K871" s="10">
        <v>1040</v>
      </c>
      <c r="L871" s="9">
        <f>HOUR([1]restaurant_sales_1200!$B871)</f>
        <v>19</v>
      </c>
      <c r="M871" s="9" t="str">
        <f t="shared" si="3"/>
        <v>Sunday</v>
      </c>
    </row>
    <row r="872" spans="1:13" x14ac:dyDescent="0.25">
      <c r="A872" s="6">
        <v>1871</v>
      </c>
      <c r="B872" s="7">
        <v>45191.120100081018</v>
      </c>
      <c r="C872" s="7">
        <v>45191.120100081018</v>
      </c>
      <c r="D872" s="8">
        <v>45191.120100081018</v>
      </c>
      <c r="E872" s="9" t="s">
        <v>210</v>
      </c>
      <c r="F872" s="9" t="s">
        <v>5</v>
      </c>
      <c r="G872" s="9" t="s">
        <v>15</v>
      </c>
      <c r="H872" s="9" t="s">
        <v>31</v>
      </c>
      <c r="I872" s="9">
        <v>3</v>
      </c>
      <c r="J872" s="9">
        <v>780</v>
      </c>
      <c r="K872" s="10">
        <v>2340</v>
      </c>
      <c r="L872" s="9">
        <f>HOUR([1]restaurant_sales_1200!$B872)</f>
        <v>2</v>
      </c>
      <c r="M872" s="9" t="str">
        <f t="shared" si="3"/>
        <v>Monday</v>
      </c>
    </row>
    <row r="873" spans="1:13" x14ac:dyDescent="0.25">
      <c r="A873" s="6">
        <v>1872</v>
      </c>
      <c r="B873" s="7">
        <v>45191.423686400463</v>
      </c>
      <c r="C873" s="7">
        <v>45191.423686400463</v>
      </c>
      <c r="D873" s="8">
        <v>45191.423686400463</v>
      </c>
      <c r="E873" s="9" t="s">
        <v>127</v>
      </c>
      <c r="F873" s="9" t="s">
        <v>8</v>
      </c>
      <c r="G873" s="9" t="s">
        <v>6</v>
      </c>
      <c r="H873" s="9" t="s">
        <v>24</v>
      </c>
      <c r="I873" s="9">
        <v>4</v>
      </c>
      <c r="J873" s="9">
        <v>188</v>
      </c>
      <c r="K873" s="10">
        <v>752</v>
      </c>
      <c r="L873" s="9">
        <f>HOUR([1]restaurant_sales_1200!$B873)</f>
        <v>10</v>
      </c>
      <c r="M873" s="9" t="str">
        <f t="shared" si="3"/>
        <v>Tuesday</v>
      </c>
    </row>
    <row r="874" spans="1:13" x14ac:dyDescent="0.25">
      <c r="A874" s="6">
        <v>1873</v>
      </c>
      <c r="B874" s="7">
        <v>45191.727272731485</v>
      </c>
      <c r="C874" s="7">
        <v>45191.727272731485</v>
      </c>
      <c r="D874" s="8">
        <v>45191.727272731485</v>
      </c>
      <c r="E874" s="9" t="s">
        <v>233</v>
      </c>
      <c r="F874" s="9" t="s">
        <v>1</v>
      </c>
      <c r="G874" s="9" t="s">
        <v>30</v>
      </c>
      <c r="H874" s="9" t="s">
        <v>3</v>
      </c>
      <c r="I874" s="9">
        <v>1</v>
      </c>
      <c r="J874" s="9">
        <v>787</v>
      </c>
      <c r="K874" s="10">
        <v>787</v>
      </c>
      <c r="L874" s="9">
        <f>HOUR([1]restaurant_sales_1200!$B874)</f>
        <v>17</v>
      </c>
      <c r="M874" s="9" t="str">
        <f t="shared" si="3"/>
        <v>Wednesday</v>
      </c>
    </row>
    <row r="875" spans="1:13" x14ac:dyDescent="0.25">
      <c r="A875" s="6">
        <v>1874</v>
      </c>
      <c r="B875" s="7">
        <v>45192.030859050923</v>
      </c>
      <c r="C875" s="7">
        <v>45192.030859050923</v>
      </c>
      <c r="D875" s="8">
        <v>45192.030859050923</v>
      </c>
      <c r="E875" s="9" t="s">
        <v>169</v>
      </c>
      <c r="F875" s="9" t="s">
        <v>8</v>
      </c>
      <c r="G875" s="9" t="s">
        <v>30</v>
      </c>
      <c r="H875" s="9" t="s">
        <v>20</v>
      </c>
      <c r="I875" s="9">
        <v>4</v>
      </c>
      <c r="J875" s="9">
        <v>880</v>
      </c>
      <c r="K875" s="10">
        <v>3520</v>
      </c>
      <c r="L875" s="9">
        <f>HOUR([1]restaurant_sales_1200!$B875)</f>
        <v>0</v>
      </c>
      <c r="M875" s="9" t="str">
        <f t="shared" si="3"/>
        <v>Thursday</v>
      </c>
    </row>
    <row r="876" spans="1:13" x14ac:dyDescent="0.25">
      <c r="A876" s="6">
        <v>1875</v>
      </c>
      <c r="B876" s="7">
        <v>45192.334445370368</v>
      </c>
      <c r="C876" s="7">
        <v>45192.334445370368</v>
      </c>
      <c r="D876" s="8">
        <v>45192.334445370368</v>
      </c>
      <c r="E876" s="9" t="s">
        <v>258</v>
      </c>
      <c r="F876" s="9" t="s">
        <v>1</v>
      </c>
      <c r="G876" s="9" t="s">
        <v>15</v>
      </c>
      <c r="H876" s="9" t="s">
        <v>47</v>
      </c>
      <c r="I876" s="9">
        <v>1</v>
      </c>
      <c r="J876" s="9">
        <v>684</v>
      </c>
      <c r="K876" s="10">
        <v>684</v>
      </c>
      <c r="L876" s="9">
        <f>HOUR([1]restaurant_sales_1200!$B876)</f>
        <v>8</v>
      </c>
      <c r="M876" s="9" t="str">
        <f t="shared" si="3"/>
        <v>Friday</v>
      </c>
    </row>
    <row r="877" spans="1:13" x14ac:dyDescent="0.25">
      <c r="A877" s="6">
        <v>1876</v>
      </c>
      <c r="B877" s="7">
        <v>45192.638031689814</v>
      </c>
      <c r="C877" s="7">
        <v>45192.638031689814</v>
      </c>
      <c r="D877" s="8">
        <v>45192.638031689814</v>
      </c>
      <c r="E877" s="9" t="s">
        <v>300</v>
      </c>
      <c r="F877" s="9" t="s">
        <v>8</v>
      </c>
      <c r="G877" s="9" t="s">
        <v>6</v>
      </c>
      <c r="H877" s="9" t="s">
        <v>47</v>
      </c>
      <c r="I877" s="9">
        <v>4</v>
      </c>
      <c r="J877" s="9">
        <v>856</v>
      </c>
      <c r="K877" s="10">
        <v>3424</v>
      </c>
      <c r="L877" s="9">
        <f>HOUR([1]restaurant_sales_1200!$B877)</f>
        <v>15</v>
      </c>
      <c r="M877" s="9" t="str">
        <f t="shared" si="3"/>
        <v>Saturday</v>
      </c>
    </row>
    <row r="878" spans="1:13" x14ac:dyDescent="0.25">
      <c r="A878" s="6">
        <v>1877</v>
      </c>
      <c r="B878" s="7">
        <v>45192.941618009259</v>
      </c>
      <c r="C878" s="7">
        <v>45192.941618009259</v>
      </c>
      <c r="D878" s="8">
        <v>45192.941618009259</v>
      </c>
      <c r="E878" s="9" t="s">
        <v>86</v>
      </c>
      <c r="F878" s="9" t="s">
        <v>5</v>
      </c>
      <c r="G878" s="9" t="s">
        <v>30</v>
      </c>
      <c r="H878" s="9" t="s">
        <v>47</v>
      </c>
      <c r="I878" s="9">
        <v>1</v>
      </c>
      <c r="J878" s="9">
        <v>688</v>
      </c>
      <c r="K878" s="10">
        <v>688</v>
      </c>
      <c r="L878" s="9">
        <f>HOUR([1]restaurant_sales_1200!$B878)</f>
        <v>22</v>
      </c>
      <c r="M878" s="9" t="str">
        <f t="shared" si="3"/>
        <v>Sunday</v>
      </c>
    </row>
    <row r="879" spans="1:13" x14ac:dyDescent="0.25">
      <c r="A879" s="6">
        <v>1878</v>
      </c>
      <c r="B879" s="7">
        <v>45193.245204340281</v>
      </c>
      <c r="C879" s="7">
        <v>45193.245204340281</v>
      </c>
      <c r="D879" s="8">
        <v>45193.245204340281</v>
      </c>
      <c r="E879" s="9" t="s">
        <v>144</v>
      </c>
      <c r="F879" s="9" t="s">
        <v>8</v>
      </c>
      <c r="G879" s="9" t="s">
        <v>6</v>
      </c>
      <c r="H879" s="9" t="s">
        <v>13</v>
      </c>
      <c r="I879" s="9">
        <v>2</v>
      </c>
      <c r="J879" s="9">
        <v>258</v>
      </c>
      <c r="K879" s="10">
        <v>516</v>
      </c>
      <c r="L879" s="9">
        <f>HOUR([1]restaurant_sales_1200!$B879)</f>
        <v>5</v>
      </c>
      <c r="M879" s="9" t="str">
        <f t="shared" si="3"/>
        <v>Monday</v>
      </c>
    </row>
    <row r="880" spans="1:13" x14ac:dyDescent="0.25">
      <c r="A880" s="6">
        <v>1879</v>
      </c>
      <c r="B880" s="7">
        <v>45193.548790659719</v>
      </c>
      <c r="C880" s="7">
        <v>45193.548790659719</v>
      </c>
      <c r="D880" s="8">
        <v>45193.548790659719</v>
      </c>
      <c r="E880" s="9" t="s">
        <v>222</v>
      </c>
      <c r="F880" s="9" t="s">
        <v>8</v>
      </c>
      <c r="G880" s="9" t="s">
        <v>2</v>
      </c>
      <c r="H880" s="9" t="s">
        <v>26</v>
      </c>
      <c r="I880" s="9">
        <v>5</v>
      </c>
      <c r="J880" s="9">
        <v>588</v>
      </c>
      <c r="K880" s="10">
        <v>2940</v>
      </c>
      <c r="L880" s="9">
        <f>HOUR([1]restaurant_sales_1200!$B880)</f>
        <v>13</v>
      </c>
      <c r="M880" s="9" t="str">
        <f t="shared" si="3"/>
        <v>Tuesday</v>
      </c>
    </row>
    <row r="881" spans="1:13" x14ac:dyDescent="0.25">
      <c r="A881" s="6">
        <v>1880</v>
      </c>
      <c r="B881" s="7">
        <v>45193.852376979165</v>
      </c>
      <c r="C881" s="7">
        <v>45193.852376979165</v>
      </c>
      <c r="D881" s="8">
        <v>45193.852376979165</v>
      </c>
      <c r="E881" s="9" t="s">
        <v>69</v>
      </c>
      <c r="F881" s="9" t="s">
        <v>1</v>
      </c>
      <c r="G881" s="9" t="s">
        <v>15</v>
      </c>
      <c r="H881" s="9" t="s">
        <v>31</v>
      </c>
      <c r="I881" s="9">
        <v>3</v>
      </c>
      <c r="J881" s="9">
        <v>423</v>
      </c>
      <c r="K881" s="10">
        <v>1269</v>
      </c>
      <c r="L881" s="9">
        <f>HOUR([1]restaurant_sales_1200!$B881)</f>
        <v>20</v>
      </c>
      <c r="M881" s="9" t="str">
        <f t="shared" si="3"/>
        <v>Wednesday</v>
      </c>
    </row>
    <row r="882" spans="1:13" x14ac:dyDescent="0.25">
      <c r="A882" s="6">
        <v>1881</v>
      </c>
      <c r="B882" s="7">
        <v>45194.15596329861</v>
      </c>
      <c r="C882" s="7">
        <v>45194.15596329861</v>
      </c>
      <c r="D882" s="8">
        <v>45194.15596329861</v>
      </c>
      <c r="E882" s="9" t="s">
        <v>303</v>
      </c>
      <c r="F882" s="9" t="s">
        <v>8</v>
      </c>
      <c r="G882" s="9" t="s">
        <v>15</v>
      </c>
      <c r="H882" s="9" t="s">
        <v>20</v>
      </c>
      <c r="I882" s="9">
        <v>4</v>
      </c>
      <c r="J882" s="9">
        <v>709</v>
      </c>
      <c r="K882" s="10">
        <v>2836</v>
      </c>
      <c r="L882" s="9">
        <f>HOUR([1]restaurant_sales_1200!$B882)</f>
        <v>3</v>
      </c>
      <c r="M882" s="9" t="str">
        <f t="shared" si="3"/>
        <v>Thursday</v>
      </c>
    </row>
    <row r="883" spans="1:13" x14ac:dyDescent="0.25">
      <c r="A883" s="6">
        <v>1882</v>
      </c>
      <c r="B883" s="7">
        <v>45194.459549629632</v>
      </c>
      <c r="C883" s="7">
        <v>45194.459549629632</v>
      </c>
      <c r="D883" s="8">
        <v>45194.459549629632</v>
      </c>
      <c r="E883" s="9" t="s">
        <v>85</v>
      </c>
      <c r="F883" s="9" t="s">
        <v>19</v>
      </c>
      <c r="G883" s="9" t="s">
        <v>6</v>
      </c>
      <c r="H883" s="9" t="s">
        <v>10</v>
      </c>
      <c r="I883" s="9">
        <v>5</v>
      </c>
      <c r="J883" s="9">
        <v>480</v>
      </c>
      <c r="K883" s="10">
        <v>2400</v>
      </c>
      <c r="L883" s="9">
        <f>HOUR([1]restaurant_sales_1200!$B883)</f>
        <v>11</v>
      </c>
      <c r="M883" s="9" t="str">
        <f t="shared" si="3"/>
        <v>Friday</v>
      </c>
    </row>
    <row r="884" spans="1:13" x14ac:dyDescent="0.25">
      <c r="A884" s="6">
        <v>1883</v>
      </c>
      <c r="B884" s="7">
        <v>45194.763135949077</v>
      </c>
      <c r="C884" s="7">
        <v>45194.763135949077</v>
      </c>
      <c r="D884" s="8">
        <v>45194.763135949077</v>
      </c>
      <c r="E884" s="9" t="s">
        <v>278</v>
      </c>
      <c r="F884" s="9" t="s">
        <v>1</v>
      </c>
      <c r="G884" s="9" t="s">
        <v>6</v>
      </c>
      <c r="H884" s="9" t="s">
        <v>13</v>
      </c>
      <c r="I884" s="9">
        <v>3</v>
      </c>
      <c r="J884" s="9">
        <v>201</v>
      </c>
      <c r="K884" s="10">
        <v>603</v>
      </c>
      <c r="L884" s="9">
        <f>HOUR([1]restaurant_sales_1200!$B884)</f>
        <v>18</v>
      </c>
      <c r="M884" s="9" t="str">
        <f t="shared" si="3"/>
        <v>Saturday</v>
      </c>
    </row>
    <row r="885" spans="1:13" x14ac:dyDescent="0.25">
      <c r="A885" s="6">
        <v>1884</v>
      </c>
      <c r="B885" s="7">
        <v>45195.066722268515</v>
      </c>
      <c r="C885" s="7">
        <v>45195.066722268515</v>
      </c>
      <c r="D885" s="8">
        <v>45195.066722268515</v>
      </c>
      <c r="E885" s="9" t="s">
        <v>131</v>
      </c>
      <c r="F885" s="9" t="s">
        <v>8</v>
      </c>
      <c r="G885" s="9" t="s">
        <v>9</v>
      </c>
      <c r="H885" s="9" t="s">
        <v>31</v>
      </c>
      <c r="I885" s="9">
        <v>3</v>
      </c>
      <c r="J885" s="9">
        <v>593</v>
      </c>
      <c r="K885" s="10">
        <v>1779</v>
      </c>
      <c r="L885" s="9">
        <f>HOUR([1]restaurant_sales_1200!$B885)</f>
        <v>1</v>
      </c>
      <c r="M885" s="9" t="str">
        <f t="shared" si="3"/>
        <v>Sunday</v>
      </c>
    </row>
    <row r="886" spans="1:13" x14ac:dyDescent="0.25">
      <c r="A886" s="6">
        <v>1885</v>
      </c>
      <c r="B886" s="7">
        <v>45195.370308587961</v>
      </c>
      <c r="C886" s="7">
        <v>45195.370308587961</v>
      </c>
      <c r="D886" s="8">
        <v>45195.370308587961</v>
      </c>
      <c r="E886" s="9" t="s">
        <v>212</v>
      </c>
      <c r="F886" s="9" t="s">
        <v>19</v>
      </c>
      <c r="G886" s="9" t="s">
        <v>30</v>
      </c>
      <c r="H886" s="9" t="s">
        <v>16</v>
      </c>
      <c r="I886" s="9">
        <v>1</v>
      </c>
      <c r="J886" s="9">
        <v>743</v>
      </c>
      <c r="K886" s="10">
        <v>743</v>
      </c>
      <c r="L886" s="9">
        <f>HOUR([1]restaurant_sales_1200!$B886)</f>
        <v>8</v>
      </c>
      <c r="M886" s="9" t="str">
        <f t="shared" si="3"/>
        <v>Monday</v>
      </c>
    </row>
    <row r="887" spans="1:13" x14ac:dyDescent="0.25">
      <c r="A887" s="6">
        <v>1886</v>
      </c>
      <c r="B887" s="7">
        <v>45195.673894907406</v>
      </c>
      <c r="C887" s="7">
        <v>45195.673894907406</v>
      </c>
      <c r="D887" s="8">
        <v>45195.673894907406</v>
      </c>
      <c r="E887" s="9" t="s">
        <v>173</v>
      </c>
      <c r="F887" s="9" t="s">
        <v>1</v>
      </c>
      <c r="G887" s="9" t="s">
        <v>2</v>
      </c>
      <c r="H887" s="9" t="s">
        <v>16</v>
      </c>
      <c r="I887" s="9">
        <v>2</v>
      </c>
      <c r="J887" s="9">
        <v>713</v>
      </c>
      <c r="K887" s="10">
        <v>1426</v>
      </c>
      <c r="L887" s="9">
        <f>HOUR([1]restaurant_sales_1200!$B887)</f>
        <v>16</v>
      </c>
      <c r="M887" s="9" t="str">
        <f t="shared" si="3"/>
        <v>Tuesday</v>
      </c>
    </row>
    <row r="888" spans="1:13" x14ac:dyDescent="0.25">
      <c r="A888" s="6">
        <v>1887</v>
      </c>
      <c r="B888" s="7">
        <v>45195.977481238428</v>
      </c>
      <c r="C888" s="7">
        <v>45195.977481238428</v>
      </c>
      <c r="D888" s="8">
        <v>45195.977481238428</v>
      </c>
      <c r="E888" s="9" t="s">
        <v>158</v>
      </c>
      <c r="F888" s="9" t="s">
        <v>5</v>
      </c>
      <c r="G888" s="9" t="s">
        <v>30</v>
      </c>
      <c r="H888" s="9" t="s">
        <v>16</v>
      </c>
      <c r="I888" s="9">
        <v>2</v>
      </c>
      <c r="J888" s="9">
        <v>118</v>
      </c>
      <c r="K888" s="10">
        <v>236</v>
      </c>
      <c r="L888" s="9">
        <f>HOUR([1]restaurant_sales_1200!$B888)</f>
        <v>23</v>
      </c>
      <c r="M888" s="9" t="str">
        <f t="shared" si="3"/>
        <v>Wednesday</v>
      </c>
    </row>
    <row r="889" spans="1:13" x14ac:dyDescent="0.25">
      <c r="A889" s="6">
        <v>1888</v>
      </c>
      <c r="B889" s="7">
        <v>45196.281067557873</v>
      </c>
      <c r="C889" s="7">
        <v>45196.281067557873</v>
      </c>
      <c r="D889" s="8">
        <v>45196.281067557873</v>
      </c>
      <c r="E889" s="9" t="s">
        <v>130</v>
      </c>
      <c r="F889" s="9" t="s">
        <v>1</v>
      </c>
      <c r="G889" s="9" t="s">
        <v>9</v>
      </c>
      <c r="H889" s="9" t="s">
        <v>20</v>
      </c>
      <c r="I889" s="9">
        <v>5</v>
      </c>
      <c r="J889" s="9">
        <v>553</v>
      </c>
      <c r="K889" s="10">
        <v>2765</v>
      </c>
      <c r="L889" s="9">
        <f>HOUR([1]restaurant_sales_1200!$B889)</f>
        <v>6</v>
      </c>
      <c r="M889" s="9" t="str">
        <f t="shared" si="3"/>
        <v>Thursday</v>
      </c>
    </row>
    <row r="890" spans="1:13" x14ac:dyDescent="0.25">
      <c r="A890" s="6">
        <v>1889</v>
      </c>
      <c r="B890" s="7">
        <v>45196.584653877311</v>
      </c>
      <c r="C890" s="7">
        <v>45196.584653877311</v>
      </c>
      <c r="D890" s="8">
        <v>45196.584653877311</v>
      </c>
      <c r="E890" s="9" t="s">
        <v>189</v>
      </c>
      <c r="F890" s="9" t="s">
        <v>1</v>
      </c>
      <c r="G890" s="9" t="s">
        <v>6</v>
      </c>
      <c r="H890" s="9" t="s">
        <v>26</v>
      </c>
      <c r="I890" s="9">
        <v>2</v>
      </c>
      <c r="J890" s="9">
        <v>581</v>
      </c>
      <c r="K890" s="10">
        <v>1162</v>
      </c>
      <c r="L890" s="9">
        <f>HOUR([1]restaurant_sales_1200!$B890)</f>
        <v>14</v>
      </c>
      <c r="M890" s="9" t="str">
        <f t="shared" si="3"/>
        <v>Friday</v>
      </c>
    </row>
    <row r="891" spans="1:13" x14ac:dyDescent="0.25">
      <c r="A891" s="6">
        <v>1890</v>
      </c>
      <c r="B891" s="7">
        <v>45196.888240196757</v>
      </c>
      <c r="C891" s="7">
        <v>45196.888240196757</v>
      </c>
      <c r="D891" s="8">
        <v>45196.888240196757</v>
      </c>
      <c r="E891" s="9" t="s">
        <v>79</v>
      </c>
      <c r="F891" s="9" t="s">
        <v>8</v>
      </c>
      <c r="G891" s="9" t="s">
        <v>30</v>
      </c>
      <c r="H891" s="9" t="s">
        <v>47</v>
      </c>
      <c r="I891" s="9">
        <v>4</v>
      </c>
      <c r="J891" s="9">
        <v>693</v>
      </c>
      <c r="K891" s="10">
        <v>2772</v>
      </c>
      <c r="L891" s="9">
        <f>HOUR([1]restaurant_sales_1200!$B891)</f>
        <v>21</v>
      </c>
      <c r="M891" s="9" t="str">
        <f t="shared" si="3"/>
        <v>Saturday</v>
      </c>
    </row>
    <row r="892" spans="1:13" x14ac:dyDescent="0.25">
      <c r="A892" s="6">
        <v>1891</v>
      </c>
      <c r="B892" s="7">
        <v>45197.191826527778</v>
      </c>
      <c r="C892" s="7">
        <v>45197.191826527778</v>
      </c>
      <c r="D892" s="8">
        <v>45197.191826527778</v>
      </c>
      <c r="E892" s="9" t="s">
        <v>227</v>
      </c>
      <c r="F892" s="9" t="s">
        <v>19</v>
      </c>
      <c r="G892" s="9" t="s">
        <v>15</v>
      </c>
      <c r="H892" s="9" t="s">
        <v>10</v>
      </c>
      <c r="I892" s="9">
        <v>2</v>
      </c>
      <c r="J892" s="9">
        <v>496</v>
      </c>
      <c r="K892" s="10">
        <v>992</v>
      </c>
      <c r="L892" s="9">
        <f>HOUR([1]restaurant_sales_1200!$B892)</f>
        <v>4</v>
      </c>
      <c r="M892" s="9" t="str">
        <f t="shared" si="3"/>
        <v>Sunday</v>
      </c>
    </row>
    <row r="893" spans="1:13" x14ac:dyDescent="0.25">
      <c r="A893" s="6">
        <v>1892</v>
      </c>
      <c r="B893" s="7">
        <v>45197.495412847224</v>
      </c>
      <c r="C893" s="7">
        <v>45197.495412847224</v>
      </c>
      <c r="D893" s="8">
        <v>45197.495412847224</v>
      </c>
      <c r="E893" s="9" t="s">
        <v>170</v>
      </c>
      <c r="F893" s="9" t="s">
        <v>1</v>
      </c>
      <c r="G893" s="9" t="s">
        <v>30</v>
      </c>
      <c r="H893" s="9" t="s">
        <v>33</v>
      </c>
      <c r="I893" s="9">
        <v>5</v>
      </c>
      <c r="J893" s="9">
        <v>378</v>
      </c>
      <c r="K893" s="10">
        <v>1890</v>
      </c>
      <c r="L893" s="9">
        <f>HOUR([1]restaurant_sales_1200!$B893)</f>
        <v>11</v>
      </c>
      <c r="M893" s="9" t="str">
        <f t="shared" si="3"/>
        <v>Monday</v>
      </c>
    </row>
    <row r="894" spans="1:13" x14ac:dyDescent="0.25">
      <c r="A894" s="6">
        <v>1893</v>
      </c>
      <c r="B894" s="7">
        <v>45197.798999166669</v>
      </c>
      <c r="C894" s="7">
        <v>45197.798999166669</v>
      </c>
      <c r="D894" s="8">
        <v>45197.798999166669</v>
      </c>
      <c r="E894" s="9" t="s">
        <v>304</v>
      </c>
      <c r="F894" s="9" t="s">
        <v>1</v>
      </c>
      <c r="G894" s="9" t="s">
        <v>6</v>
      </c>
      <c r="H894" s="9" t="s">
        <v>20</v>
      </c>
      <c r="I894" s="9">
        <v>2</v>
      </c>
      <c r="J894" s="9">
        <v>950</v>
      </c>
      <c r="K894" s="10">
        <v>1900</v>
      </c>
      <c r="L894" s="9">
        <f>HOUR([1]restaurant_sales_1200!$B894)</f>
        <v>19</v>
      </c>
      <c r="M894" s="9" t="str">
        <f t="shared" si="3"/>
        <v>Tuesday</v>
      </c>
    </row>
    <row r="895" spans="1:13" x14ac:dyDescent="0.25">
      <c r="A895" s="6">
        <v>1894</v>
      </c>
      <c r="B895" s="7">
        <v>45198.102585486115</v>
      </c>
      <c r="C895" s="7">
        <v>45198.102585486115</v>
      </c>
      <c r="D895" s="8">
        <v>45198.102585486115</v>
      </c>
      <c r="E895" s="9" t="s">
        <v>261</v>
      </c>
      <c r="F895" s="9" t="s">
        <v>1</v>
      </c>
      <c r="G895" s="9" t="s">
        <v>30</v>
      </c>
      <c r="H895" s="9" t="s">
        <v>33</v>
      </c>
      <c r="I895" s="9">
        <v>4</v>
      </c>
      <c r="J895" s="9">
        <v>464</v>
      </c>
      <c r="K895" s="10">
        <v>1856</v>
      </c>
      <c r="L895" s="9">
        <f>HOUR([1]restaurant_sales_1200!$B895)</f>
        <v>2</v>
      </c>
      <c r="M895" s="9" t="str">
        <f t="shared" si="3"/>
        <v>Wednesday</v>
      </c>
    </row>
    <row r="896" spans="1:13" x14ac:dyDescent="0.25">
      <c r="A896" s="6">
        <v>1895</v>
      </c>
      <c r="B896" s="7">
        <v>45198.406171805553</v>
      </c>
      <c r="C896" s="7">
        <v>45198.406171805553</v>
      </c>
      <c r="D896" s="8">
        <v>45198.406171805553</v>
      </c>
      <c r="E896" s="9" t="s">
        <v>61</v>
      </c>
      <c r="F896" s="9" t="s">
        <v>8</v>
      </c>
      <c r="G896" s="9" t="s">
        <v>9</v>
      </c>
      <c r="H896" s="9" t="s">
        <v>47</v>
      </c>
      <c r="I896" s="9">
        <v>1</v>
      </c>
      <c r="J896" s="9">
        <v>430</v>
      </c>
      <c r="K896" s="10">
        <v>430</v>
      </c>
      <c r="L896" s="9">
        <f>HOUR([1]restaurant_sales_1200!$B896)</f>
        <v>9</v>
      </c>
      <c r="M896" s="9" t="str">
        <f t="shared" si="3"/>
        <v>Thursday</v>
      </c>
    </row>
    <row r="897" spans="1:13" x14ac:dyDescent="0.25">
      <c r="A897" s="6">
        <v>1896</v>
      </c>
      <c r="B897" s="7">
        <v>45198.709758136574</v>
      </c>
      <c r="C897" s="7">
        <v>45198.709758136574</v>
      </c>
      <c r="D897" s="8">
        <v>45198.709758136574</v>
      </c>
      <c r="E897" s="9" t="s">
        <v>91</v>
      </c>
      <c r="F897" s="9" t="s">
        <v>1</v>
      </c>
      <c r="G897" s="9" t="s">
        <v>2</v>
      </c>
      <c r="H897" s="9" t="s">
        <v>26</v>
      </c>
      <c r="I897" s="9">
        <v>5</v>
      </c>
      <c r="J897" s="9">
        <v>740</v>
      </c>
      <c r="K897" s="10">
        <v>3700</v>
      </c>
      <c r="L897" s="9">
        <f>HOUR([1]restaurant_sales_1200!$B897)</f>
        <v>17</v>
      </c>
      <c r="M897" s="9" t="str">
        <f t="shared" si="3"/>
        <v>Friday</v>
      </c>
    </row>
    <row r="898" spans="1:13" x14ac:dyDescent="0.25">
      <c r="A898" s="6">
        <v>1897</v>
      </c>
      <c r="B898" s="7">
        <v>45199.01334445602</v>
      </c>
      <c r="C898" s="7">
        <v>45199.01334445602</v>
      </c>
      <c r="D898" s="8">
        <v>45199.01334445602</v>
      </c>
      <c r="E898" s="9" t="s">
        <v>178</v>
      </c>
      <c r="F898" s="9" t="s">
        <v>19</v>
      </c>
      <c r="G898" s="9" t="s">
        <v>6</v>
      </c>
      <c r="H898" s="9" t="s">
        <v>26</v>
      </c>
      <c r="I898" s="9">
        <v>1</v>
      </c>
      <c r="J898" s="9">
        <v>443</v>
      </c>
      <c r="K898" s="10">
        <v>443</v>
      </c>
      <c r="L898" s="9">
        <f>HOUR([1]restaurant_sales_1200!$B898)</f>
        <v>0</v>
      </c>
      <c r="M898" s="9" t="str">
        <f t="shared" si="3"/>
        <v>Saturday</v>
      </c>
    </row>
    <row r="899" spans="1:13" x14ac:dyDescent="0.25">
      <c r="A899" s="6">
        <v>1898</v>
      </c>
      <c r="B899" s="7">
        <v>45199.316930775465</v>
      </c>
      <c r="C899" s="7">
        <v>45199.316930775465</v>
      </c>
      <c r="D899" s="8">
        <v>45199.316930775465</v>
      </c>
      <c r="E899" s="9" t="s">
        <v>216</v>
      </c>
      <c r="F899" s="9" t="s">
        <v>8</v>
      </c>
      <c r="G899" s="9" t="s">
        <v>15</v>
      </c>
      <c r="H899" s="9" t="s">
        <v>47</v>
      </c>
      <c r="I899" s="9">
        <v>1</v>
      </c>
      <c r="J899" s="9">
        <v>921</v>
      </c>
      <c r="K899" s="10">
        <v>921</v>
      </c>
      <c r="L899" s="9">
        <f>HOUR([1]restaurant_sales_1200!$B899)</f>
        <v>7</v>
      </c>
      <c r="M899" s="9" t="str">
        <f t="shared" si="3"/>
        <v>Sunday</v>
      </c>
    </row>
    <row r="900" spans="1:13" x14ac:dyDescent="0.25">
      <c r="A900" s="6">
        <v>1899</v>
      </c>
      <c r="B900" s="7">
        <v>45199.620517094911</v>
      </c>
      <c r="C900" s="7">
        <v>45199.620517094911</v>
      </c>
      <c r="D900" s="8">
        <v>45199.620517094911</v>
      </c>
      <c r="E900" s="9" t="s">
        <v>201</v>
      </c>
      <c r="F900" s="9" t="s">
        <v>5</v>
      </c>
      <c r="G900" s="9" t="s">
        <v>9</v>
      </c>
      <c r="H900" s="9" t="s">
        <v>47</v>
      </c>
      <c r="I900" s="9">
        <v>1</v>
      </c>
      <c r="J900" s="9">
        <v>554</v>
      </c>
      <c r="K900" s="10">
        <v>554</v>
      </c>
      <c r="L900" s="9">
        <f>HOUR([1]restaurant_sales_1200!$B900)</f>
        <v>14</v>
      </c>
      <c r="M900" s="9" t="str">
        <f t="shared" si="3"/>
        <v>Monday</v>
      </c>
    </row>
    <row r="901" spans="1:13" x14ac:dyDescent="0.25">
      <c r="A901" s="6">
        <v>1900</v>
      </c>
      <c r="B901" s="7">
        <v>45199.924103414349</v>
      </c>
      <c r="C901" s="7">
        <v>45199.924103414349</v>
      </c>
      <c r="D901" s="8">
        <v>45199.924103414349</v>
      </c>
      <c r="E901" s="9" t="s">
        <v>75</v>
      </c>
      <c r="F901" s="9" t="s">
        <v>5</v>
      </c>
      <c r="G901" s="9" t="s">
        <v>6</v>
      </c>
      <c r="H901" s="9" t="s">
        <v>24</v>
      </c>
      <c r="I901" s="9">
        <v>3</v>
      </c>
      <c r="J901" s="9">
        <v>700</v>
      </c>
      <c r="K901" s="10">
        <v>2100</v>
      </c>
      <c r="L901" s="9">
        <f>HOUR([1]restaurant_sales_1200!$B901)</f>
        <v>22</v>
      </c>
      <c r="M901" s="9" t="str">
        <f t="shared" si="3"/>
        <v>Tuesday</v>
      </c>
    </row>
    <row r="902" spans="1:13" x14ac:dyDescent="0.25">
      <c r="A902" s="6">
        <v>1901</v>
      </c>
      <c r="B902" s="7">
        <v>45200.22768974537</v>
      </c>
      <c r="C902" s="7">
        <v>45200.22768974537</v>
      </c>
      <c r="D902" s="8">
        <v>45200.22768974537</v>
      </c>
      <c r="E902" s="9" t="s">
        <v>144</v>
      </c>
      <c r="F902" s="9" t="s">
        <v>8</v>
      </c>
      <c r="G902" s="9" t="s">
        <v>15</v>
      </c>
      <c r="H902" s="9" t="s">
        <v>33</v>
      </c>
      <c r="I902" s="9">
        <v>3</v>
      </c>
      <c r="J902" s="9">
        <v>824</v>
      </c>
      <c r="K902" s="10">
        <v>2472</v>
      </c>
      <c r="L902" s="9">
        <f>HOUR([1]restaurant_sales_1200!$B902)</f>
        <v>5</v>
      </c>
      <c r="M902" s="9" t="str">
        <f t="shared" si="3"/>
        <v>Wednesday</v>
      </c>
    </row>
    <row r="903" spans="1:13" x14ac:dyDescent="0.25">
      <c r="A903" s="6">
        <v>1902</v>
      </c>
      <c r="B903" s="7">
        <v>45200.531276064816</v>
      </c>
      <c r="C903" s="7">
        <v>45200.531276064816</v>
      </c>
      <c r="D903" s="8">
        <v>45200.531276064816</v>
      </c>
      <c r="E903" s="9" t="s">
        <v>161</v>
      </c>
      <c r="F903" s="9" t="s">
        <v>19</v>
      </c>
      <c r="G903" s="9" t="s">
        <v>15</v>
      </c>
      <c r="H903" s="9" t="s">
        <v>26</v>
      </c>
      <c r="I903" s="9">
        <v>1</v>
      </c>
      <c r="J903" s="9">
        <v>754</v>
      </c>
      <c r="K903" s="10">
        <v>754</v>
      </c>
      <c r="L903" s="9">
        <f>HOUR([1]restaurant_sales_1200!$B903)</f>
        <v>12</v>
      </c>
      <c r="M903" s="9" t="str">
        <f t="shared" si="3"/>
        <v>Thursday</v>
      </c>
    </row>
    <row r="904" spans="1:13" x14ac:dyDescent="0.25">
      <c r="A904" s="6">
        <v>1903</v>
      </c>
      <c r="B904" s="7">
        <v>45200.834862384261</v>
      </c>
      <c r="C904" s="7">
        <v>45200.834862384261</v>
      </c>
      <c r="D904" s="8">
        <v>45200.834862384261</v>
      </c>
      <c r="E904" s="9" t="s">
        <v>300</v>
      </c>
      <c r="F904" s="9" t="s">
        <v>8</v>
      </c>
      <c r="G904" s="9" t="s">
        <v>6</v>
      </c>
      <c r="H904" s="9" t="s">
        <v>47</v>
      </c>
      <c r="I904" s="9">
        <v>5</v>
      </c>
      <c r="J904" s="9">
        <v>164</v>
      </c>
      <c r="K904" s="10">
        <v>820</v>
      </c>
      <c r="L904" s="9">
        <f>HOUR([1]restaurant_sales_1200!$B904)</f>
        <v>20</v>
      </c>
      <c r="M904" s="9" t="str">
        <f t="shared" si="3"/>
        <v>Friday</v>
      </c>
    </row>
    <row r="905" spans="1:13" x14ac:dyDescent="0.25">
      <c r="A905" s="6">
        <v>1904</v>
      </c>
      <c r="B905" s="7">
        <v>45201.138448703707</v>
      </c>
      <c r="C905" s="7">
        <v>45201.138448703707</v>
      </c>
      <c r="D905" s="8">
        <v>45201.138448703707</v>
      </c>
      <c r="E905" s="9" t="s">
        <v>148</v>
      </c>
      <c r="F905" s="9" t="s">
        <v>8</v>
      </c>
      <c r="G905" s="9" t="s">
        <v>9</v>
      </c>
      <c r="H905" s="9" t="s">
        <v>33</v>
      </c>
      <c r="I905" s="9">
        <v>4</v>
      </c>
      <c r="J905" s="9">
        <v>175</v>
      </c>
      <c r="K905" s="10">
        <v>700</v>
      </c>
      <c r="L905" s="9">
        <f>HOUR([1]restaurant_sales_1200!$B905)</f>
        <v>3</v>
      </c>
      <c r="M905" s="9" t="str">
        <f t="shared" si="3"/>
        <v>Saturday</v>
      </c>
    </row>
    <row r="906" spans="1:13" x14ac:dyDescent="0.25">
      <c r="A906" s="6">
        <v>1905</v>
      </c>
      <c r="B906" s="7">
        <v>45201.442035034721</v>
      </c>
      <c r="C906" s="7">
        <v>45201.442035034721</v>
      </c>
      <c r="D906" s="8">
        <v>45201.442035034721</v>
      </c>
      <c r="E906" s="9" t="s">
        <v>139</v>
      </c>
      <c r="F906" s="9" t="s">
        <v>8</v>
      </c>
      <c r="G906" s="9" t="s">
        <v>15</v>
      </c>
      <c r="H906" s="9" t="s">
        <v>47</v>
      </c>
      <c r="I906" s="9">
        <v>4</v>
      </c>
      <c r="J906" s="9">
        <v>810</v>
      </c>
      <c r="K906" s="10">
        <v>3240</v>
      </c>
      <c r="L906" s="9">
        <f>HOUR([1]restaurant_sales_1200!$B906)</f>
        <v>10</v>
      </c>
      <c r="M906" s="9" t="str">
        <f t="shared" si="3"/>
        <v>Sunday</v>
      </c>
    </row>
    <row r="907" spans="1:13" x14ac:dyDescent="0.25">
      <c r="A907" s="6">
        <v>1906</v>
      </c>
      <c r="B907" s="7">
        <v>45201.745621354166</v>
      </c>
      <c r="C907" s="7">
        <v>45201.745621354166</v>
      </c>
      <c r="D907" s="8">
        <v>45201.745621354166</v>
      </c>
      <c r="E907" s="9" t="s">
        <v>263</v>
      </c>
      <c r="F907" s="9" t="s">
        <v>8</v>
      </c>
      <c r="G907" s="9" t="s">
        <v>2</v>
      </c>
      <c r="H907" s="9" t="s">
        <v>3</v>
      </c>
      <c r="I907" s="9">
        <v>2</v>
      </c>
      <c r="J907" s="9">
        <v>242</v>
      </c>
      <c r="K907" s="10">
        <v>484</v>
      </c>
      <c r="L907" s="9">
        <f>HOUR([1]restaurant_sales_1200!$B907)</f>
        <v>17</v>
      </c>
      <c r="M907" s="9" t="str">
        <f t="shared" si="3"/>
        <v>Monday</v>
      </c>
    </row>
    <row r="908" spans="1:13" x14ac:dyDescent="0.25">
      <c r="A908" s="6">
        <v>1907</v>
      </c>
      <c r="B908" s="7">
        <v>45202.049207673612</v>
      </c>
      <c r="C908" s="7">
        <v>45202.049207673612</v>
      </c>
      <c r="D908" s="8">
        <v>45202.049207673612</v>
      </c>
      <c r="E908" s="9" t="s">
        <v>234</v>
      </c>
      <c r="F908" s="9" t="s">
        <v>1</v>
      </c>
      <c r="G908" s="9" t="s">
        <v>9</v>
      </c>
      <c r="H908" s="9" t="s">
        <v>47</v>
      </c>
      <c r="I908" s="9">
        <v>5</v>
      </c>
      <c r="J908" s="9">
        <v>927</v>
      </c>
      <c r="K908" s="10">
        <v>4635</v>
      </c>
      <c r="L908" s="9">
        <f>HOUR([1]restaurant_sales_1200!$B908)</f>
        <v>1</v>
      </c>
      <c r="M908" s="9" t="str">
        <f t="shared" si="3"/>
        <v>Tuesday</v>
      </c>
    </row>
    <row r="909" spans="1:13" x14ac:dyDescent="0.25">
      <c r="A909" s="6">
        <v>1908</v>
      </c>
      <c r="B909" s="7">
        <v>45202.352793993057</v>
      </c>
      <c r="C909" s="7">
        <v>45202.352793993057</v>
      </c>
      <c r="D909" s="8">
        <v>45202.352793993057</v>
      </c>
      <c r="E909" s="9" t="s">
        <v>135</v>
      </c>
      <c r="F909" s="9" t="s">
        <v>5</v>
      </c>
      <c r="G909" s="9" t="s">
        <v>15</v>
      </c>
      <c r="H909" s="9" t="s">
        <v>24</v>
      </c>
      <c r="I909" s="9">
        <v>3</v>
      </c>
      <c r="J909" s="9">
        <v>704</v>
      </c>
      <c r="K909" s="10">
        <v>2112</v>
      </c>
      <c r="L909" s="9">
        <f>HOUR([1]restaurant_sales_1200!$B909)</f>
        <v>8</v>
      </c>
      <c r="M909" s="9" t="str">
        <f t="shared" si="3"/>
        <v>Wednesday</v>
      </c>
    </row>
    <row r="910" spans="1:13" x14ac:dyDescent="0.25">
      <c r="A910" s="6">
        <v>1909</v>
      </c>
      <c r="B910" s="7">
        <v>45202.656380312503</v>
      </c>
      <c r="C910" s="7">
        <v>45202.656380312503</v>
      </c>
      <c r="D910" s="8">
        <v>45202.656380312503</v>
      </c>
      <c r="E910" s="9" t="s">
        <v>42</v>
      </c>
      <c r="F910" s="9" t="s">
        <v>19</v>
      </c>
      <c r="G910" s="9" t="s">
        <v>6</v>
      </c>
      <c r="H910" s="9" t="s">
        <v>10</v>
      </c>
      <c r="I910" s="9">
        <v>1</v>
      </c>
      <c r="J910" s="9">
        <v>572</v>
      </c>
      <c r="K910" s="10">
        <v>572</v>
      </c>
      <c r="L910" s="9">
        <f>HOUR([1]restaurant_sales_1200!$B910)</f>
        <v>15</v>
      </c>
      <c r="M910" s="9" t="str">
        <f t="shared" si="3"/>
        <v>Thursday</v>
      </c>
    </row>
    <row r="911" spans="1:13" x14ac:dyDescent="0.25">
      <c r="A911" s="6">
        <v>1910</v>
      </c>
      <c r="B911" s="7">
        <v>45202.959966643517</v>
      </c>
      <c r="C911" s="7">
        <v>45202.959966643517</v>
      </c>
      <c r="D911" s="8">
        <v>45202.959966643517</v>
      </c>
      <c r="E911" s="9" t="s">
        <v>147</v>
      </c>
      <c r="F911" s="9" t="s">
        <v>1</v>
      </c>
      <c r="G911" s="9" t="s">
        <v>6</v>
      </c>
      <c r="H911" s="9" t="s">
        <v>26</v>
      </c>
      <c r="I911" s="9">
        <v>2</v>
      </c>
      <c r="J911" s="9">
        <v>516</v>
      </c>
      <c r="K911" s="10">
        <v>1032</v>
      </c>
      <c r="L911" s="9">
        <f>HOUR([1]restaurant_sales_1200!$B911)</f>
        <v>23</v>
      </c>
      <c r="M911" s="9" t="str">
        <f t="shared" si="3"/>
        <v>Friday</v>
      </c>
    </row>
    <row r="912" spans="1:13" x14ac:dyDescent="0.25">
      <c r="A912" s="6">
        <v>1911</v>
      </c>
      <c r="B912" s="7">
        <v>45203.263552962962</v>
      </c>
      <c r="C912" s="7">
        <v>45203.263552962962</v>
      </c>
      <c r="D912" s="8">
        <v>45203.263552962962</v>
      </c>
      <c r="E912" s="9" t="s">
        <v>59</v>
      </c>
      <c r="F912" s="9" t="s">
        <v>5</v>
      </c>
      <c r="G912" s="9" t="s">
        <v>9</v>
      </c>
      <c r="H912" s="9" t="s">
        <v>26</v>
      </c>
      <c r="I912" s="9">
        <v>4</v>
      </c>
      <c r="J912" s="9">
        <v>404</v>
      </c>
      <c r="K912" s="10">
        <v>1616</v>
      </c>
      <c r="L912" s="9">
        <f>HOUR([1]restaurant_sales_1200!$B912)</f>
        <v>6</v>
      </c>
      <c r="M912" s="9" t="str">
        <f t="shared" si="3"/>
        <v>Saturday</v>
      </c>
    </row>
    <row r="913" spans="1:13" x14ac:dyDescent="0.25">
      <c r="A913" s="6">
        <v>1912</v>
      </c>
      <c r="B913" s="7">
        <v>45203.567139282408</v>
      </c>
      <c r="C913" s="7">
        <v>45203.567139282408</v>
      </c>
      <c r="D913" s="8">
        <v>45203.567139282408</v>
      </c>
      <c r="E913" s="9" t="s">
        <v>180</v>
      </c>
      <c r="F913" s="9" t="s">
        <v>8</v>
      </c>
      <c r="G913" s="9" t="s">
        <v>15</v>
      </c>
      <c r="H913" s="9" t="s">
        <v>33</v>
      </c>
      <c r="I913" s="9">
        <v>3</v>
      </c>
      <c r="J913" s="9">
        <v>835</v>
      </c>
      <c r="K913" s="10">
        <v>2505</v>
      </c>
      <c r="L913" s="9">
        <f>HOUR([1]restaurant_sales_1200!$B913)</f>
        <v>13</v>
      </c>
      <c r="M913" s="9" t="str">
        <f t="shared" si="3"/>
        <v>Sunday</v>
      </c>
    </row>
    <row r="914" spans="1:13" x14ac:dyDescent="0.25">
      <c r="A914" s="6">
        <v>1913</v>
      </c>
      <c r="B914" s="7">
        <v>45203.870725601853</v>
      </c>
      <c r="C914" s="7">
        <v>45203.870725601853</v>
      </c>
      <c r="D914" s="8">
        <v>45203.870725601853</v>
      </c>
      <c r="E914" s="9" t="s">
        <v>59</v>
      </c>
      <c r="F914" s="9" t="s">
        <v>5</v>
      </c>
      <c r="G914" s="9" t="s">
        <v>15</v>
      </c>
      <c r="H914" s="9" t="s">
        <v>3</v>
      </c>
      <c r="I914" s="9">
        <v>3</v>
      </c>
      <c r="J914" s="9">
        <v>596</v>
      </c>
      <c r="K914" s="10">
        <v>1788</v>
      </c>
      <c r="L914" s="9">
        <f>HOUR([1]restaurant_sales_1200!$B914)</f>
        <v>20</v>
      </c>
      <c r="M914" s="9" t="str">
        <f t="shared" si="3"/>
        <v>Monday</v>
      </c>
    </row>
    <row r="915" spans="1:13" x14ac:dyDescent="0.25">
      <c r="A915" s="6">
        <v>1914</v>
      </c>
      <c r="B915" s="7">
        <v>45204.174311921299</v>
      </c>
      <c r="C915" s="7">
        <v>45204.174311921299</v>
      </c>
      <c r="D915" s="8">
        <v>45204.174311921299</v>
      </c>
      <c r="E915" s="9" t="s">
        <v>165</v>
      </c>
      <c r="F915" s="9" t="s">
        <v>5</v>
      </c>
      <c r="G915" s="9" t="s">
        <v>9</v>
      </c>
      <c r="H915" s="9" t="s">
        <v>31</v>
      </c>
      <c r="I915" s="9">
        <v>1</v>
      </c>
      <c r="J915" s="9">
        <v>390</v>
      </c>
      <c r="K915" s="10">
        <v>390</v>
      </c>
      <c r="L915" s="9">
        <f>HOUR([1]restaurant_sales_1200!$B915)</f>
        <v>4</v>
      </c>
      <c r="M915" s="9" t="str">
        <f t="shared" si="3"/>
        <v>Tuesday</v>
      </c>
    </row>
    <row r="916" spans="1:13" x14ac:dyDescent="0.25">
      <c r="A916" s="6">
        <v>1915</v>
      </c>
      <c r="B916" s="7">
        <v>45204.477898252313</v>
      </c>
      <c r="C916" s="7">
        <v>45204.477898252313</v>
      </c>
      <c r="D916" s="8">
        <v>45204.477898252313</v>
      </c>
      <c r="E916" s="9" t="s">
        <v>27</v>
      </c>
      <c r="F916" s="9" t="s">
        <v>1</v>
      </c>
      <c r="G916" s="9" t="s">
        <v>9</v>
      </c>
      <c r="H916" s="9" t="s">
        <v>20</v>
      </c>
      <c r="I916" s="9">
        <v>4</v>
      </c>
      <c r="J916" s="9">
        <v>201</v>
      </c>
      <c r="K916" s="10">
        <v>804</v>
      </c>
      <c r="L916" s="9">
        <f>HOUR([1]restaurant_sales_1200!$B916)</f>
        <v>11</v>
      </c>
      <c r="M916" s="9" t="str">
        <f t="shared" si="3"/>
        <v>Wednesday</v>
      </c>
    </row>
    <row r="917" spans="1:13" x14ac:dyDescent="0.25">
      <c r="A917" s="6">
        <v>1916</v>
      </c>
      <c r="B917" s="7">
        <v>45204.781484571758</v>
      </c>
      <c r="C917" s="7">
        <v>45204.781484571758</v>
      </c>
      <c r="D917" s="8">
        <v>45204.781484571758</v>
      </c>
      <c r="E917" s="9" t="s">
        <v>152</v>
      </c>
      <c r="F917" s="9" t="s">
        <v>1</v>
      </c>
      <c r="G917" s="9" t="s">
        <v>9</v>
      </c>
      <c r="H917" s="9" t="s">
        <v>16</v>
      </c>
      <c r="I917" s="9">
        <v>5</v>
      </c>
      <c r="J917" s="9">
        <v>366</v>
      </c>
      <c r="K917" s="10">
        <v>1830</v>
      </c>
      <c r="L917" s="9">
        <f>HOUR([1]restaurant_sales_1200!$B917)</f>
        <v>18</v>
      </c>
      <c r="M917" s="9" t="str">
        <f t="shared" si="3"/>
        <v>Thursday</v>
      </c>
    </row>
    <row r="918" spans="1:13" x14ac:dyDescent="0.25">
      <c r="A918" s="6">
        <v>1917</v>
      </c>
      <c r="B918" s="7">
        <v>45205.085070891204</v>
      </c>
      <c r="C918" s="7">
        <v>45205.085070891204</v>
      </c>
      <c r="D918" s="8">
        <v>45205.085070891204</v>
      </c>
      <c r="E918" s="9" t="s">
        <v>117</v>
      </c>
      <c r="F918" s="9" t="s">
        <v>19</v>
      </c>
      <c r="G918" s="9" t="s">
        <v>2</v>
      </c>
      <c r="H918" s="9" t="s">
        <v>26</v>
      </c>
      <c r="I918" s="9">
        <v>3</v>
      </c>
      <c r="J918" s="9">
        <v>966</v>
      </c>
      <c r="K918" s="10">
        <v>2898</v>
      </c>
      <c r="L918" s="9">
        <f>HOUR([1]restaurant_sales_1200!$B918)</f>
        <v>2</v>
      </c>
      <c r="M918" s="9" t="str">
        <f t="shared" si="3"/>
        <v>Friday</v>
      </c>
    </row>
    <row r="919" spans="1:13" x14ac:dyDescent="0.25">
      <c r="A919" s="6">
        <v>1918</v>
      </c>
      <c r="B919" s="7">
        <v>45205.388657210649</v>
      </c>
      <c r="C919" s="7">
        <v>45205.388657210649</v>
      </c>
      <c r="D919" s="8">
        <v>45205.388657210649</v>
      </c>
      <c r="E919" s="9" t="s">
        <v>79</v>
      </c>
      <c r="F919" s="9" t="s">
        <v>8</v>
      </c>
      <c r="G919" s="9" t="s">
        <v>2</v>
      </c>
      <c r="H919" s="9" t="s">
        <v>16</v>
      </c>
      <c r="I919" s="9">
        <v>1</v>
      </c>
      <c r="J919" s="9">
        <v>721</v>
      </c>
      <c r="K919" s="10">
        <v>721</v>
      </c>
      <c r="L919" s="9">
        <f>HOUR([1]restaurant_sales_1200!$B919)</f>
        <v>9</v>
      </c>
      <c r="M919" s="9" t="str">
        <f t="shared" si="3"/>
        <v>Saturday</v>
      </c>
    </row>
    <row r="920" spans="1:13" x14ac:dyDescent="0.25">
      <c r="A920" s="6">
        <v>1919</v>
      </c>
      <c r="B920" s="7">
        <v>45205.692243541664</v>
      </c>
      <c r="C920" s="7">
        <v>45205.692243541664</v>
      </c>
      <c r="D920" s="8">
        <v>45205.692243541664</v>
      </c>
      <c r="E920" s="9" t="s">
        <v>296</v>
      </c>
      <c r="F920" s="9" t="s">
        <v>8</v>
      </c>
      <c r="G920" s="9" t="s">
        <v>2</v>
      </c>
      <c r="H920" s="9" t="s">
        <v>16</v>
      </c>
      <c r="I920" s="9">
        <v>5</v>
      </c>
      <c r="J920" s="9">
        <v>941</v>
      </c>
      <c r="K920" s="10">
        <v>4705</v>
      </c>
      <c r="L920" s="9">
        <f>HOUR([1]restaurant_sales_1200!$B920)</f>
        <v>16</v>
      </c>
      <c r="M920" s="9" t="str">
        <f t="shared" si="3"/>
        <v>Sunday</v>
      </c>
    </row>
    <row r="921" spans="1:13" x14ac:dyDescent="0.25">
      <c r="A921" s="6">
        <v>1920</v>
      </c>
      <c r="B921" s="7">
        <v>45205.995829861109</v>
      </c>
      <c r="C921" s="7">
        <v>45205.995829861109</v>
      </c>
      <c r="D921" s="8">
        <v>45205.995829861109</v>
      </c>
      <c r="E921" s="9" t="s">
        <v>108</v>
      </c>
      <c r="F921" s="9" t="s">
        <v>8</v>
      </c>
      <c r="G921" s="9" t="s">
        <v>6</v>
      </c>
      <c r="H921" s="9" t="s">
        <v>47</v>
      </c>
      <c r="I921" s="9">
        <v>4</v>
      </c>
      <c r="J921" s="9">
        <v>876</v>
      </c>
      <c r="K921" s="10">
        <v>3504</v>
      </c>
      <c r="L921" s="9">
        <f>HOUR([1]restaurant_sales_1200!$B921)</f>
        <v>23</v>
      </c>
      <c r="M921" s="9" t="str">
        <f t="shared" si="3"/>
        <v>Monday</v>
      </c>
    </row>
    <row r="922" spans="1:13" x14ac:dyDescent="0.25">
      <c r="A922" s="6">
        <v>1921</v>
      </c>
      <c r="B922" s="7">
        <v>45206.299416180555</v>
      </c>
      <c r="C922" s="7">
        <v>45206.299416180555</v>
      </c>
      <c r="D922" s="8">
        <v>45206.299416180555</v>
      </c>
      <c r="E922" s="9" t="s">
        <v>91</v>
      </c>
      <c r="F922" s="9" t="s">
        <v>5</v>
      </c>
      <c r="G922" s="9" t="s">
        <v>2</v>
      </c>
      <c r="H922" s="9" t="s">
        <v>20</v>
      </c>
      <c r="I922" s="9">
        <v>3</v>
      </c>
      <c r="J922" s="9">
        <v>102</v>
      </c>
      <c r="K922" s="10">
        <v>306</v>
      </c>
      <c r="L922" s="9">
        <f>HOUR([1]restaurant_sales_1200!$B922)</f>
        <v>7</v>
      </c>
      <c r="M922" s="9" t="str">
        <f t="shared" si="3"/>
        <v>Tuesday</v>
      </c>
    </row>
    <row r="923" spans="1:13" x14ac:dyDescent="0.25">
      <c r="A923" s="6">
        <v>1922</v>
      </c>
      <c r="B923" s="7">
        <v>45206.6030025</v>
      </c>
      <c r="C923" s="7">
        <v>45206.6030025</v>
      </c>
      <c r="D923" s="8">
        <v>45206.6030025</v>
      </c>
      <c r="E923" s="9" t="s">
        <v>293</v>
      </c>
      <c r="F923" s="9" t="s">
        <v>5</v>
      </c>
      <c r="G923" s="9" t="s">
        <v>2</v>
      </c>
      <c r="H923" s="9" t="s">
        <v>10</v>
      </c>
      <c r="I923" s="9">
        <v>5</v>
      </c>
      <c r="J923" s="9">
        <v>184</v>
      </c>
      <c r="K923" s="10">
        <v>920</v>
      </c>
      <c r="L923" s="9">
        <f>HOUR([1]restaurant_sales_1200!$B923)</f>
        <v>14</v>
      </c>
      <c r="M923" s="9" t="str">
        <f t="shared" si="3"/>
        <v>Wednesday</v>
      </c>
    </row>
    <row r="924" spans="1:13" x14ac:dyDescent="0.25">
      <c r="A924" s="6">
        <v>1923</v>
      </c>
      <c r="B924" s="7">
        <v>45206.906588819445</v>
      </c>
      <c r="C924" s="7">
        <v>45206.906588819445</v>
      </c>
      <c r="D924" s="8">
        <v>45206.906588819445</v>
      </c>
      <c r="E924" s="9" t="s">
        <v>103</v>
      </c>
      <c r="F924" s="9" t="s">
        <v>8</v>
      </c>
      <c r="G924" s="9" t="s">
        <v>2</v>
      </c>
      <c r="H924" s="9" t="s">
        <v>26</v>
      </c>
      <c r="I924" s="9">
        <v>5</v>
      </c>
      <c r="J924" s="9">
        <v>893</v>
      </c>
      <c r="K924" s="10">
        <v>4465</v>
      </c>
      <c r="L924" s="9">
        <f>HOUR([1]restaurant_sales_1200!$B924)</f>
        <v>21</v>
      </c>
      <c r="M924" s="9" t="str">
        <f t="shared" si="3"/>
        <v>Thursday</v>
      </c>
    </row>
    <row r="925" spans="1:13" x14ac:dyDescent="0.25">
      <c r="A925" s="6">
        <v>1924</v>
      </c>
      <c r="B925" s="7">
        <v>45207.21017515046</v>
      </c>
      <c r="C925" s="7">
        <v>45207.21017515046</v>
      </c>
      <c r="D925" s="8">
        <v>45207.21017515046</v>
      </c>
      <c r="E925" s="9" t="s">
        <v>213</v>
      </c>
      <c r="F925" s="9" t="s">
        <v>19</v>
      </c>
      <c r="G925" s="9" t="s">
        <v>15</v>
      </c>
      <c r="H925" s="9" t="s">
        <v>47</v>
      </c>
      <c r="I925" s="9">
        <v>5</v>
      </c>
      <c r="J925" s="9">
        <v>427</v>
      </c>
      <c r="K925" s="10">
        <v>2135</v>
      </c>
      <c r="L925" s="9">
        <f>HOUR([1]restaurant_sales_1200!$B925)</f>
        <v>5</v>
      </c>
      <c r="M925" s="9" t="str">
        <f t="shared" si="3"/>
        <v>Friday</v>
      </c>
    </row>
    <row r="926" spans="1:13" x14ac:dyDescent="0.25">
      <c r="A926" s="6">
        <v>1925</v>
      </c>
      <c r="B926" s="7">
        <v>45207.513761469905</v>
      </c>
      <c r="C926" s="7">
        <v>45207.513761469905</v>
      </c>
      <c r="D926" s="8">
        <v>45207.513761469905</v>
      </c>
      <c r="E926" s="9" t="s">
        <v>254</v>
      </c>
      <c r="F926" s="9" t="s">
        <v>5</v>
      </c>
      <c r="G926" s="9" t="s">
        <v>30</v>
      </c>
      <c r="H926" s="9" t="s">
        <v>26</v>
      </c>
      <c r="I926" s="9">
        <v>3</v>
      </c>
      <c r="J926" s="9">
        <v>915</v>
      </c>
      <c r="K926" s="10">
        <v>2745</v>
      </c>
      <c r="L926" s="9">
        <f>HOUR([1]restaurant_sales_1200!$B926)</f>
        <v>12</v>
      </c>
      <c r="M926" s="9" t="str">
        <f t="shared" si="3"/>
        <v>Saturday</v>
      </c>
    </row>
    <row r="927" spans="1:13" x14ac:dyDescent="0.25">
      <c r="A927" s="6">
        <v>1926</v>
      </c>
      <c r="B927" s="7">
        <v>45207.817347789351</v>
      </c>
      <c r="C927" s="7">
        <v>45207.817347789351</v>
      </c>
      <c r="D927" s="8">
        <v>45207.817347789351</v>
      </c>
      <c r="E927" s="9" t="s">
        <v>286</v>
      </c>
      <c r="F927" s="9" t="s">
        <v>19</v>
      </c>
      <c r="G927" s="9" t="s">
        <v>2</v>
      </c>
      <c r="H927" s="9" t="s">
        <v>47</v>
      </c>
      <c r="I927" s="9">
        <v>3</v>
      </c>
      <c r="J927" s="9">
        <v>549</v>
      </c>
      <c r="K927" s="10">
        <v>1647</v>
      </c>
      <c r="L927" s="9">
        <f>HOUR([1]restaurant_sales_1200!$B927)</f>
        <v>19</v>
      </c>
      <c r="M927" s="9" t="str">
        <f t="shared" si="3"/>
        <v>Sunday</v>
      </c>
    </row>
    <row r="928" spans="1:13" x14ac:dyDescent="0.25">
      <c r="A928" s="6">
        <v>1927</v>
      </c>
      <c r="B928" s="7">
        <v>45208.120934108796</v>
      </c>
      <c r="C928" s="7">
        <v>45208.120934108796</v>
      </c>
      <c r="D928" s="8">
        <v>45208.120934108796</v>
      </c>
      <c r="E928" s="9" t="s">
        <v>305</v>
      </c>
      <c r="F928" s="9" t="s">
        <v>5</v>
      </c>
      <c r="G928" s="9" t="s">
        <v>9</v>
      </c>
      <c r="H928" s="9" t="s">
        <v>26</v>
      </c>
      <c r="I928" s="9">
        <v>2</v>
      </c>
      <c r="J928" s="9">
        <v>553</v>
      </c>
      <c r="K928" s="10">
        <v>1106</v>
      </c>
      <c r="L928" s="9">
        <f>HOUR([1]restaurant_sales_1200!$B928)</f>
        <v>2</v>
      </c>
      <c r="M928" s="9" t="str">
        <f t="shared" si="3"/>
        <v>Monday</v>
      </c>
    </row>
    <row r="929" spans="1:13" x14ac:dyDescent="0.25">
      <c r="A929" s="6">
        <v>1928</v>
      </c>
      <c r="B929" s="7">
        <v>45208.424520428242</v>
      </c>
      <c r="C929" s="7">
        <v>45208.424520428242</v>
      </c>
      <c r="D929" s="8">
        <v>45208.424520428242</v>
      </c>
      <c r="E929" s="9" t="s">
        <v>164</v>
      </c>
      <c r="F929" s="9" t="s">
        <v>1</v>
      </c>
      <c r="G929" s="9" t="s">
        <v>2</v>
      </c>
      <c r="H929" s="9" t="s">
        <v>24</v>
      </c>
      <c r="I929" s="9">
        <v>4</v>
      </c>
      <c r="J929" s="9">
        <v>728</v>
      </c>
      <c r="K929" s="10">
        <v>2912</v>
      </c>
      <c r="L929" s="9">
        <f>HOUR([1]restaurant_sales_1200!$B929)</f>
        <v>10</v>
      </c>
      <c r="M929" s="9" t="str">
        <f t="shared" si="3"/>
        <v>Tuesday</v>
      </c>
    </row>
    <row r="930" spans="1:13" x14ac:dyDescent="0.25">
      <c r="A930" s="6">
        <v>1929</v>
      </c>
      <c r="B930" s="7">
        <v>45208.728106759256</v>
      </c>
      <c r="C930" s="7">
        <v>45208.728106759256</v>
      </c>
      <c r="D930" s="8">
        <v>45208.728106759256</v>
      </c>
      <c r="E930" s="9" t="s">
        <v>253</v>
      </c>
      <c r="F930" s="9" t="s">
        <v>1</v>
      </c>
      <c r="G930" s="9" t="s">
        <v>30</v>
      </c>
      <c r="H930" s="9" t="s">
        <v>3</v>
      </c>
      <c r="I930" s="9">
        <v>1</v>
      </c>
      <c r="J930" s="9">
        <v>320</v>
      </c>
      <c r="K930" s="10">
        <v>320</v>
      </c>
      <c r="L930" s="9">
        <f>HOUR([1]restaurant_sales_1200!$B930)</f>
        <v>17</v>
      </c>
      <c r="M930" s="9" t="str">
        <f t="shared" si="3"/>
        <v>Wednesday</v>
      </c>
    </row>
    <row r="931" spans="1:13" x14ac:dyDescent="0.25">
      <c r="A931" s="6">
        <v>1930</v>
      </c>
      <c r="B931" s="7">
        <v>45209.031693078701</v>
      </c>
      <c r="C931" s="7">
        <v>45209.031693078701</v>
      </c>
      <c r="D931" s="8">
        <v>45209.031693078701</v>
      </c>
      <c r="E931" s="9" t="s">
        <v>59</v>
      </c>
      <c r="F931" s="9" t="s">
        <v>8</v>
      </c>
      <c r="G931" s="9" t="s">
        <v>6</v>
      </c>
      <c r="H931" s="9" t="s">
        <v>47</v>
      </c>
      <c r="I931" s="9">
        <v>5</v>
      </c>
      <c r="J931" s="9">
        <v>253</v>
      </c>
      <c r="K931" s="10">
        <v>1265</v>
      </c>
      <c r="L931" s="9">
        <f>HOUR([1]restaurant_sales_1200!$B931)</f>
        <v>0</v>
      </c>
      <c r="M931" s="9" t="str">
        <f t="shared" si="3"/>
        <v>Thursday</v>
      </c>
    </row>
    <row r="932" spans="1:13" x14ac:dyDescent="0.25">
      <c r="A932" s="6">
        <v>1931</v>
      </c>
      <c r="B932" s="7">
        <v>45209.335279398147</v>
      </c>
      <c r="C932" s="7">
        <v>45209.335279398147</v>
      </c>
      <c r="D932" s="8">
        <v>45209.335279398147</v>
      </c>
      <c r="E932" s="9" t="s">
        <v>306</v>
      </c>
      <c r="F932" s="9" t="s">
        <v>1</v>
      </c>
      <c r="G932" s="9" t="s">
        <v>6</v>
      </c>
      <c r="H932" s="9" t="s">
        <v>13</v>
      </c>
      <c r="I932" s="9">
        <v>2</v>
      </c>
      <c r="J932" s="9">
        <v>764</v>
      </c>
      <c r="K932" s="10">
        <v>1528</v>
      </c>
      <c r="L932" s="9">
        <f>HOUR([1]restaurant_sales_1200!$B932)</f>
        <v>8</v>
      </c>
      <c r="M932" s="9" t="str">
        <f t="shared" si="3"/>
        <v>Friday</v>
      </c>
    </row>
    <row r="933" spans="1:13" x14ac:dyDescent="0.25">
      <c r="A933" s="6">
        <v>1932</v>
      </c>
      <c r="B933" s="7">
        <v>45209.638865717592</v>
      </c>
      <c r="C933" s="7">
        <v>45209.638865717592</v>
      </c>
      <c r="D933" s="8">
        <v>45209.638865717592</v>
      </c>
      <c r="E933" s="9" t="s">
        <v>257</v>
      </c>
      <c r="F933" s="9" t="s">
        <v>5</v>
      </c>
      <c r="G933" s="9" t="s">
        <v>2</v>
      </c>
      <c r="H933" s="9" t="s">
        <v>16</v>
      </c>
      <c r="I933" s="9">
        <v>1</v>
      </c>
      <c r="J933" s="9">
        <v>111</v>
      </c>
      <c r="K933" s="10">
        <v>111</v>
      </c>
      <c r="L933" s="9">
        <f>HOUR([1]restaurant_sales_1200!$B933)</f>
        <v>15</v>
      </c>
      <c r="M933" s="9" t="str">
        <f t="shared" si="3"/>
        <v>Saturday</v>
      </c>
    </row>
    <row r="934" spans="1:13" x14ac:dyDescent="0.25">
      <c r="A934" s="6">
        <v>1933</v>
      </c>
      <c r="B934" s="7">
        <v>45209.942452048614</v>
      </c>
      <c r="C934" s="7">
        <v>45209.942452048614</v>
      </c>
      <c r="D934" s="8">
        <v>45209.942452048614</v>
      </c>
      <c r="E934" s="9" t="s">
        <v>166</v>
      </c>
      <c r="F934" s="9" t="s">
        <v>5</v>
      </c>
      <c r="G934" s="9" t="s">
        <v>9</v>
      </c>
      <c r="H934" s="9" t="s">
        <v>26</v>
      </c>
      <c r="I934" s="9">
        <v>2</v>
      </c>
      <c r="J934" s="9">
        <v>232</v>
      </c>
      <c r="K934" s="10">
        <v>464</v>
      </c>
      <c r="L934" s="9">
        <f>HOUR([1]restaurant_sales_1200!$B934)</f>
        <v>22</v>
      </c>
      <c r="M934" s="9" t="str">
        <f t="shared" si="3"/>
        <v>Sunday</v>
      </c>
    </row>
    <row r="935" spans="1:13" x14ac:dyDescent="0.25">
      <c r="A935" s="6">
        <v>1934</v>
      </c>
      <c r="B935" s="7">
        <v>45210.246038368059</v>
      </c>
      <c r="C935" s="7">
        <v>45210.246038368059</v>
      </c>
      <c r="D935" s="8">
        <v>45210.246038368059</v>
      </c>
      <c r="E935" s="9" t="s">
        <v>103</v>
      </c>
      <c r="F935" s="9" t="s">
        <v>1</v>
      </c>
      <c r="G935" s="9" t="s">
        <v>9</v>
      </c>
      <c r="H935" s="9" t="s">
        <v>26</v>
      </c>
      <c r="I935" s="9">
        <v>3</v>
      </c>
      <c r="J935" s="9">
        <v>403</v>
      </c>
      <c r="K935" s="10">
        <v>1209</v>
      </c>
      <c r="L935" s="9">
        <f>HOUR([1]restaurant_sales_1200!$B935)</f>
        <v>5</v>
      </c>
      <c r="M935" s="9" t="str">
        <f t="shared" si="3"/>
        <v>Monday</v>
      </c>
    </row>
    <row r="936" spans="1:13" x14ac:dyDescent="0.25">
      <c r="A936" s="6">
        <v>1935</v>
      </c>
      <c r="B936" s="7">
        <v>45210.549624687497</v>
      </c>
      <c r="C936" s="7">
        <v>45210.549624687497</v>
      </c>
      <c r="D936" s="8">
        <v>45210.549624687497</v>
      </c>
      <c r="E936" s="9" t="s">
        <v>277</v>
      </c>
      <c r="F936" s="9" t="s">
        <v>1</v>
      </c>
      <c r="G936" s="9" t="s">
        <v>15</v>
      </c>
      <c r="H936" s="9" t="s">
        <v>31</v>
      </c>
      <c r="I936" s="9">
        <v>5</v>
      </c>
      <c r="J936" s="9">
        <v>392</v>
      </c>
      <c r="K936" s="10">
        <v>1960</v>
      </c>
      <c r="L936" s="9">
        <f>HOUR([1]restaurant_sales_1200!$B936)</f>
        <v>13</v>
      </c>
      <c r="M936" s="9" t="str">
        <f t="shared" si="3"/>
        <v>Tuesday</v>
      </c>
    </row>
    <row r="937" spans="1:13" x14ac:dyDescent="0.25">
      <c r="A937" s="6">
        <v>1936</v>
      </c>
      <c r="B937" s="7">
        <v>45210.853211006943</v>
      </c>
      <c r="C937" s="7">
        <v>45210.853211006943</v>
      </c>
      <c r="D937" s="8">
        <v>45210.853211006943</v>
      </c>
      <c r="E937" s="9" t="s">
        <v>64</v>
      </c>
      <c r="F937" s="9" t="s">
        <v>1</v>
      </c>
      <c r="G937" s="9" t="s">
        <v>9</v>
      </c>
      <c r="H937" s="9" t="s">
        <v>20</v>
      </c>
      <c r="I937" s="9">
        <v>1</v>
      </c>
      <c r="J937" s="9">
        <v>399</v>
      </c>
      <c r="K937" s="10">
        <v>399</v>
      </c>
      <c r="L937" s="9">
        <f>HOUR([1]restaurant_sales_1200!$B937)</f>
        <v>20</v>
      </c>
      <c r="M937" s="9" t="str">
        <f t="shared" si="3"/>
        <v>Wednesday</v>
      </c>
    </row>
    <row r="938" spans="1:13" x14ac:dyDescent="0.25">
      <c r="A938" s="6">
        <v>1937</v>
      </c>
      <c r="B938" s="7">
        <v>45211.156797326388</v>
      </c>
      <c r="C938" s="7">
        <v>45211.156797326388</v>
      </c>
      <c r="D938" s="8">
        <v>45211.156797326388</v>
      </c>
      <c r="E938" s="9" t="s">
        <v>217</v>
      </c>
      <c r="F938" s="9" t="s">
        <v>8</v>
      </c>
      <c r="G938" s="9" t="s">
        <v>15</v>
      </c>
      <c r="H938" s="9" t="s">
        <v>10</v>
      </c>
      <c r="I938" s="9">
        <v>1</v>
      </c>
      <c r="J938" s="9">
        <v>839</v>
      </c>
      <c r="K938" s="10">
        <v>839</v>
      </c>
      <c r="L938" s="9">
        <f>HOUR([1]restaurant_sales_1200!$B938)</f>
        <v>3</v>
      </c>
      <c r="M938" s="9" t="str">
        <f t="shared" si="3"/>
        <v>Thursday</v>
      </c>
    </row>
    <row r="939" spans="1:13" x14ac:dyDescent="0.25">
      <c r="A939" s="6">
        <v>1938</v>
      </c>
      <c r="B939" s="7">
        <v>45211.46038365741</v>
      </c>
      <c r="C939" s="7">
        <v>45211.46038365741</v>
      </c>
      <c r="D939" s="8">
        <v>45211.46038365741</v>
      </c>
      <c r="E939" s="9" t="s">
        <v>254</v>
      </c>
      <c r="F939" s="9" t="s">
        <v>1</v>
      </c>
      <c r="G939" s="9" t="s">
        <v>15</v>
      </c>
      <c r="H939" s="9" t="s">
        <v>10</v>
      </c>
      <c r="I939" s="9">
        <v>1</v>
      </c>
      <c r="J939" s="9">
        <v>882</v>
      </c>
      <c r="K939" s="10">
        <v>882</v>
      </c>
      <c r="L939" s="9">
        <f>HOUR([1]restaurant_sales_1200!$B939)</f>
        <v>11</v>
      </c>
      <c r="M939" s="9" t="str">
        <f t="shared" si="3"/>
        <v>Friday</v>
      </c>
    </row>
    <row r="940" spans="1:13" x14ac:dyDescent="0.25">
      <c r="A940" s="6">
        <v>1939</v>
      </c>
      <c r="B940" s="7">
        <v>45211.763969976855</v>
      </c>
      <c r="C940" s="7">
        <v>45211.763969976855</v>
      </c>
      <c r="D940" s="8">
        <v>45211.763969976855</v>
      </c>
      <c r="E940" s="9" t="s">
        <v>43</v>
      </c>
      <c r="F940" s="9" t="s">
        <v>5</v>
      </c>
      <c r="G940" s="9" t="s">
        <v>9</v>
      </c>
      <c r="H940" s="9" t="s">
        <v>47</v>
      </c>
      <c r="I940" s="9">
        <v>1</v>
      </c>
      <c r="J940" s="9">
        <v>142</v>
      </c>
      <c r="K940" s="10">
        <v>142</v>
      </c>
      <c r="L940" s="9">
        <f>HOUR([1]restaurant_sales_1200!$B940)</f>
        <v>18</v>
      </c>
      <c r="M940" s="9" t="str">
        <f t="shared" si="3"/>
        <v>Saturday</v>
      </c>
    </row>
    <row r="941" spans="1:13" x14ac:dyDescent="0.25">
      <c r="A941" s="6">
        <v>1940</v>
      </c>
      <c r="B941" s="7">
        <v>45212.067556296293</v>
      </c>
      <c r="C941" s="7">
        <v>45212.067556296293</v>
      </c>
      <c r="D941" s="8">
        <v>45212.067556296293</v>
      </c>
      <c r="E941" s="9" t="s">
        <v>123</v>
      </c>
      <c r="F941" s="9" t="s">
        <v>1</v>
      </c>
      <c r="G941" s="9" t="s">
        <v>9</v>
      </c>
      <c r="H941" s="9" t="s">
        <v>31</v>
      </c>
      <c r="I941" s="9">
        <v>1</v>
      </c>
      <c r="J941" s="9">
        <v>442</v>
      </c>
      <c r="K941" s="10">
        <v>442</v>
      </c>
      <c r="L941" s="9">
        <f>HOUR([1]restaurant_sales_1200!$B941)</f>
        <v>1</v>
      </c>
      <c r="M941" s="9" t="str">
        <f t="shared" si="3"/>
        <v>Sunday</v>
      </c>
    </row>
    <row r="942" spans="1:13" x14ac:dyDescent="0.25">
      <c r="A942" s="6">
        <v>1941</v>
      </c>
      <c r="B942" s="7">
        <v>45212.371142615739</v>
      </c>
      <c r="C942" s="7">
        <v>45212.371142615739</v>
      </c>
      <c r="D942" s="8">
        <v>45212.371142615739</v>
      </c>
      <c r="E942" s="9" t="s">
        <v>75</v>
      </c>
      <c r="F942" s="9" t="s">
        <v>8</v>
      </c>
      <c r="G942" s="9" t="s">
        <v>15</v>
      </c>
      <c r="H942" s="9" t="s">
        <v>33</v>
      </c>
      <c r="I942" s="9">
        <v>2</v>
      </c>
      <c r="J942" s="9">
        <v>425</v>
      </c>
      <c r="K942" s="10">
        <v>850</v>
      </c>
      <c r="L942" s="9">
        <f>HOUR([1]restaurant_sales_1200!$B942)</f>
        <v>8</v>
      </c>
      <c r="M942" s="9" t="str">
        <f t="shared" si="3"/>
        <v>Monday</v>
      </c>
    </row>
    <row r="943" spans="1:13" x14ac:dyDescent="0.25">
      <c r="A943" s="6">
        <v>1942</v>
      </c>
      <c r="B943" s="7">
        <v>45212.674728935184</v>
      </c>
      <c r="C943" s="7">
        <v>45212.674728935184</v>
      </c>
      <c r="D943" s="8">
        <v>45212.674728935184</v>
      </c>
      <c r="E943" s="9" t="s">
        <v>120</v>
      </c>
      <c r="F943" s="9" t="s">
        <v>8</v>
      </c>
      <c r="G943" s="9" t="s">
        <v>6</v>
      </c>
      <c r="H943" s="9" t="s">
        <v>20</v>
      </c>
      <c r="I943" s="9">
        <v>5</v>
      </c>
      <c r="J943" s="9">
        <v>913</v>
      </c>
      <c r="K943" s="10">
        <v>4565</v>
      </c>
      <c r="L943" s="9">
        <f>HOUR([1]restaurant_sales_1200!$B943)</f>
        <v>16</v>
      </c>
      <c r="M943" s="9" t="str">
        <f t="shared" si="3"/>
        <v>Tuesday</v>
      </c>
    </row>
    <row r="944" spans="1:13" x14ac:dyDescent="0.25">
      <c r="A944" s="6">
        <v>1943</v>
      </c>
      <c r="B944" s="7">
        <v>45212.978315266206</v>
      </c>
      <c r="C944" s="7">
        <v>45212.978315266206</v>
      </c>
      <c r="D944" s="8">
        <v>45212.978315266206</v>
      </c>
      <c r="E944" s="9" t="s">
        <v>214</v>
      </c>
      <c r="F944" s="9" t="s">
        <v>5</v>
      </c>
      <c r="G944" s="9" t="s">
        <v>2</v>
      </c>
      <c r="H944" s="9" t="s">
        <v>24</v>
      </c>
      <c r="I944" s="9">
        <v>3</v>
      </c>
      <c r="J944" s="9">
        <v>597</v>
      </c>
      <c r="K944" s="10">
        <v>1791</v>
      </c>
      <c r="L944" s="9">
        <f>HOUR([1]restaurant_sales_1200!$B944)</f>
        <v>23</v>
      </c>
      <c r="M944" s="9" t="str">
        <f t="shared" si="3"/>
        <v>Wednesday</v>
      </c>
    </row>
    <row r="945" spans="1:13" x14ac:dyDescent="0.25">
      <c r="A945" s="6">
        <v>1944</v>
      </c>
      <c r="B945" s="7">
        <v>45213.281901585651</v>
      </c>
      <c r="C945" s="7">
        <v>45213.281901585651</v>
      </c>
      <c r="D945" s="8">
        <v>45213.281901585651</v>
      </c>
      <c r="E945" s="9" t="s">
        <v>125</v>
      </c>
      <c r="F945" s="9" t="s">
        <v>5</v>
      </c>
      <c r="G945" s="9" t="s">
        <v>6</v>
      </c>
      <c r="H945" s="9" t="s">
        <v>24</v>
      </c>
      <c r="I945" s="9">
        <v>3</v>
      </c>
      <c r="J945" s="9">
        <v>463</v>
      </c>
      <c r="K945" s="10">
        <v>1389</v>
      </c>
      <c r="L945" s="9">
        <f>HOUR([1]restaurant_sales_1200!$B945)</f>
        <v>6</v>
      </c>
      <c r="M945" s="9" t="str">
        <f t="shared" si="3"/>
        <v>Thursday</v>
      </c>
    </row>
    <row r="946" spans="1:13" x14ac:dyDescent="0.25">
      <c r="A946" s="6">
        <v>1945</v>
      </c>
      <c r="B946" s="7">
        <v>45213.585487905089</v>
      </c>
      <c r="C946" s="7">
        <v>45213.585487905089</v>
      </c>
      <c r="D946" s="8">
        <v>45213.585487905089</v>
      </c>
      <c r="E946" s="9" t="s">
        <v>188</v>
      </c>
      <c r="F946" s="9" t="s">
        <v>1</v>
      </c>
      <c r="G946" s="9" t="s">
        <v>9</v>
      </c>
      <c r="H946" s="9" t="s">
        <v>10</v>
      </c>
      <c r="I946" s="9">
        <v>3</v>
      </c>
      <c r="J946" s="9">
        <v>990</v>
      </c>
      <c r="K946" s="10">
        <v>2970</v>
      </c>
      <c r="L946" s="9">
        <f>HOUR([1]restaurant_sales_1200!$B946)</f>
        <v>14</v>
      </c>
      <c r="M946" s="9" t="str">
        <f t="shared" si="3"/>
        <v>Friday</v>
      </c>
    </row>
    <row r="947" spans="1:13" x14ac:dyDescent="0.25">
      <c r="A947" s="6">
        <v>1946</v>
      </c>
      <c r="B947" s="7">
        <v>45213.889074224535</v>
      </c>
      <c r="C947" s="7">
        <v>45213.889074224535</v>
      </c>
      <c r="D947" s="8">
        <v>45213.889074224535</v>
      </c>
      <c r="E947" s="9" t="s">
        <v>132</v>
      </c>
      <c r="F947" s="9" t="s">
        <v>5</v>
      </c>
      <c r="G947" s="9" t="s">
        <v>30</v>
      </c>
      <c r="H947" s="9" t="s">
        <v>47</v>
      </c>
      <c r="I947" s="9">
        <v>3</v>
      </c>
      <c r="J947" s="9">
        <v>526</v>
      </c>
      <c r="K947" s="10">
        <v>1578</v>
      </c>
      <c r="L947" s="9">
        <f>HOUR([1]restaurant_sales_1200!$B947)</f>
        <v>21</v>
      </c>
      <c r="M947" s="9" t="str">
        <f t="shared" si="3"/>
        <v>Saturday</v>
      </c>
    </row>
    <row r="948" spans="1:13" x14ac:dyDescent="0.25">
      <c r="A948" s="6">
        <v>1947</v>
      </c>
      <c r="B948" s="7">
        <v>45214.192660555556</v>
      </c>
      <c r="C948" s="7">
        <v>45214.192660555556</v>
      </c>
      <c r="D948" s="8">
        <v>45214.192660555556</v>
      </c>
      <c r="E948" s="9" t="s">
        <v>221</v>
      </c>
      <c r="F948" s="9" t="s">
        <v>19</v>
      </c>
      <c r="G948" s="9" t="s">
        <v>9</v>
      </c>
      <c r="H948" s="9" t="s">
        <v>26</v>
      </c>
      <c r="I948" s="9">
        <v>2</v>
      </c>
      <c r="J948" s="9">
        <v>120</v>
      </c>
      <c r="K948" s="10">
        <v>240</v>
      </c>
      <c r="L948" s="9">
        <f>HOUR([1]restaurant_sales_1200!$B948)</f>
        <v>4</v>
      </c>
      <c r="M948" s="9" t="str">
        <f t="shared" si="3"/>
        <v>Sunday</v>
      </c>
    </row>
    <row r="949" spans="1:13" x14ac:dyDescent="0.25">
      <c r="A949" s="6">
        <v>1948</v>
      </c>
      <c r="B949" s="7">
        <v>45214.496246875002</v>
      </c>
      <c r="C949" s="7">
        <v>45214.496246875002</v>
      </c>
      <c r="D949" s="8">
        <v>45214.496246875002</v>
      </c>
      <c r="E949" s="9" t="s">
        <v>265</v>
      </c>
      <c r="F949" s="9" t="s">
        <v>5</v>
      </c>
      <c r="G949" s="9" t="s">
        <v>15</v>
      </c>
      <c r="H949" s="9" t="s">
        <v>31</v>
      </c>
      <c r="I949" s="9">
        <v>4</v>
      </c>
      <c r="J949" s="9">
        <v>506</v>
      </c>
      <c r="K949" s="10">
        <v>2024</v>
      </c>
      <c r="L949" s="9">
        <f>HOUR([1]restaurant_sales_1200!$B949)</f>
        <v>11</v>
      </c>
      <c r="M949" s="9" t="str">
        <f t="shared" si="3"/>
        <v>Monday</v>
      </c>
    </row>
    <row r="950" spans="1:13" x14ac:dyDescent="0.25">
      <c r="A950" s="6">
        <v>1949</v>
      </c>
      <c r="B950" s="7">
        <v>45214.799833194447</v>
      </c>
      <c r="C950" s="7">
        <v>45214.799833194447</v>
      </c>
      <c r="D950" s="8">
        <v>45214.799833194447</v>
      </c>
      <c r="E950" s="9" t="s">
        <v>96</v>
      </c>
      <c r="F950" s="9" t="s">
        <v>19</v>
      </c>
      <c r="G950" s="9" t="s">
        <v>30</v>
      </c>
      <c r="H950" s="9" t="s">
        <v>47</v>
      </c>
      <c r="I950" s="9">
        <v>5</v>
      </c>
      <c r="J950" s="9">
        <v>718</v>
      </c>
      <c r="K950" s="10">
        <v>3590</v>
      </c>
      <c r="L950" s="9">
        <f>HOUR([1]restaurant_sales_1200!$B950)</f>
        <v>19</v>
      </c>
      <c r="M950" s="9" t="str">
        <f t="shared" si="3"/>
        <v>Tuesday</v>
      </c>
    </row>
    <row r="951" spans="1:13" x14ac:dyDescent="0.25">
      <c r="A951" s="6">
        <v>1950</v>
      </c>
      <c r="B951" s="7">
        <v>45215.103419513885</v>
      </c>
      <c r="C951" s="7">
        <v>45215.103419513885</v>
      </c>
      <c r="D951" s="8">
        <v>45215.103419513885</v>
      </c>
      <c r="E951" s="9" t="s">
        <v>286</v>
      </c>
      <c r="F951" s="9" t="s">
        <v>19</v>
      </c>
      <c r="G951" s="9" t="s">
        <v>30</v>
      </c>
      <c r="H951" s="9" t="s">
        <v>16</v>
      </c>
      <c r="I951" s="9">
        <v>1</v>
      </c>
      <c r="J951" s="9">
        <v>435</v>
      </c>
      <c r="K951" s="10">
        <v>435</v>
      </c>
      <c r="L951" s="9">
        <f>HOUR([1]restaurant_sales_1200!$B951)</f>
        <v>2</v>
      </c>
      <c r="M951" s="9" t="str">
        <f t="shared" si="3"/>
        <v>Wednesday</v>
      </c>
    </row>
    <row r="952" spans="1:13" x14ac:dyDescent="0.25">
      <c r="A952" s="6">
        <v>1951</v>
      </c>
      <c r="B952" s="7">
        <v>45215.407005833331</v>
      </c>
      <c r="C952" s="7">
        <v>45215.407005833331</v>
      </c>
      <c r="D952" s="8">
        <v>45215.407005833331</v>
      </c>
      <c r="E952" s="9" t="s">
        <v>51</v>
      </c>
      <c r="F952" s="9" t="s">
        <v>5</v>
      </c>
      <c r="G952" s="9" t="s">
        <v>2</v>
      </c>
      <c r="H952" s="9" t="s">
        <v>26</v>
      </c>
      <c r="I952" s="9">
        <v>4</v>
      </c>
      <c r="J952" s="9">
        <v>914</v>
      </c>
      <c r="K952" s="10">
        <v>3656</v>
      </c>
      <c r="L952" s="9">
        <f>HOUR([1]restaurant_sales_1200!$B952)</f>
        <v>9</v>
      </c>
      <c r="M952" s="9" t="str">
        <f t="shared" si="3"/>
        <v>Thursday</v>
      </c>
    </row>
    <row r="953" spans="1:13" x14ac:dyDescent="0.25">
      <c r="A953" s="6">
        <v>1952</v>
      </c>
      <c r="B953" s="7">
        <v>45215.710592164352</v>
      </c>
      <c r="C953" s="7">
        <v>45215.710592164352</v>
      </c>
      <c r="D953" s="8">
        <v>45215.710592164352</v>
      </c>
      <c r="E953" s="9" t="s">
        <v>218</v>
      </c>
      <c r="F953" s="9" t="s">
        <v>19</v>
      </c>
      <c r="G953" s="9" t="s">
        <v>9</v>
      </c>
      <c r="H953" s="9" t="s">
        <v>26</v>
      </c>
      <c r="I953" s="9">
        <v>3</v>
      </c>
      <c r="J953" s="9">
        <v>216</v>
      </c>
      <c r="K953" s="10">
        <v>648</v>
      </c>
      <c r="L953" s="9">
        <f>HOUR([1]restaurant_sales_1200!$B953)</f>
        <v>17</v>
      </c>
      <c r="M953" s="9" t="str">
        <f t="shared" si="3"/>
        <v>Friday</v>
      </c>
    </row>
    <row r="954" spans="1:13" x14ac:dyDescent="0.25">
      <c r="A954" s="6">
        <v>1953</v>
      </c>
      <c r="B954" s="7">
        <v>45216.014178483798</v>
      </c>
      <c r="C954" s="7">
        <v>45216.014178483798</v>
      </c>
      <c r="D954" s="8">
        <v>45216.014178483798</v>
      </c>
      <c r="E954" s="9" t="s">
        <v>59</v>
      </c>
      <c r="F954" s="9" t="s">
        <v>5</v>
      </c>
      <c r="G954" s="9" t="s">
        <v>2</v>
      </c>
      <c r="H954" s="9" t="s">
        <v>33</v>
      </c>
      <c r="I954" s="9">
        <v>4</v>
      </c>
      <c r="J954" s="9">
        <v>223</v>
      </c>
      <c r="K954" s="10">
        <v>892</v>
      </c>
      <c r="L954" s="9">
        <f>HOUR([1]restaurant_sales_1200!$B954)</f>
        <v>0</v>
      </c>
      <c r="M954" s="9" t="str">
        <f t="shared" si="3"/>
        <v>Saturday</v>
      </c>
    </row>
    <row r="955" spans="1:13" x14ac:dyDescent="0.25">
      <c r="A955" s="6">
        <v>1954</v>
      </c>
      <c r="B955" s="7">
        <v>45216.317764803243</v>
      </c>
      <c r="C955" s="7">
        <v>45216.317764803243</v>
      </c>
      <c r="D955" s="8">
        <v>45216.317764803243</v>
      </c>
      <c r="E955" s="9" t="s">
        <v>208</v>
      </c>
      <c r="F955" s="9" t="s">
        <v>5</v>
      </c>
      <c r="G955" s="9" t="s">
        <v>6</v>
      </c>
      <c r="H955" s="9" t="s">
        <v>24</v>
      </c>
      <c r="I955" s="9">
        <v>5</v>
      </c>
      <c r="J955" s="9">
        <v>498</v>
      </c>
      <c r="K955" s="10">
        <v>2490</v>
      </c>
      <c r="L955" s="9">
        <f>HOUR([1]restaurant_sales_1200!$B955)</f>
        <v>7</v>
      </c>
      <c r="M955" s="9" t="str">
        <f t="shared" si="3"/>
        <v>Sunday</v>
      </c>
    </row>
    <row r="956" spans="1:13" x14ac:dyDescent="0.25">
      <c r="A956" s="6">
        <v>1955</v>
      </c>
      <c r="B956" s="7">
        <v>45216.621351122689</v>
      </c>
      <c r="C956" s="7">
        <v>45216.621351122689</v>
      </c>
      <c r="D956" s="8">
        <v>45216.621351122689</v>
      </c>
      <c r="E956" s="9" t="s">
        <v>57</v>
      </c>
      <c r="F956" s="9" t="s">
        <v>8</v>
      </c>
      <c r="G956" s="9" t="s">
        <v>30</v>
      </c>
      <c r="H956" s="9" t="s">
        <v>24</v>
      </c>
      <c r="I956" s="9">
        <v>1</v>
      </c>
      <c r="J956" s="9">
        <v>892</v>
      </c>
      <c r="K956" s="10">
        <v>892</v>
      </c>
      <c r="L956" s="9">
        <f>HOUR([1]restaurant_sales_1200!$B956)</f>
        <v>14</v>
      </c>
      <c r="M956" s="9" t="str">
        <f t="shared" si="3"/>
        <v>Monday</v>
      </c>
    </row>
    <row r="957" spans="1:13" x14ac:dyDescent="0.25">
      <c r="A957" s="6">
        <v>1956</v>
      </c>
      <c r="B957" s="7">
        <v>45216.924937442127</v>
      </c>
      <c r="C957" s="7">
        <v>45216.924937442127</v>
      </c>
      <c r="D957" s="8">
        <v>45216.924937442127</v>
      </c>
      <c r="E957" s="9" t="s">
        <v>253</v>
      </c>
      <c r="F957" s="9" t="s">
        <v>19</v>
      </c>
      <c r="G957" s="9" t="s">
        <v>2</v>
      </c>
      <c r="H957" s="9" t="s">
        <v>31</v>
      </c>
      <c r="I957" s="9">
        <v>1</v>
      </c>
      <c r="J957" s="9">
        <v>903</v>
      </c>
      <c r="K957" s="10">
        <v>903</v>
      </c>
      <c r="L957" s="9">
        <f>HOUR([1]restaurant_sales_1200!$B957)</f>
        <v>22</v>
      </c>
      <c r="M957" s="9" t="str">
        <f t="shared" si="3"/>
        <v>Tuesday</v>
      </c>
    </row>
    <row r="958" spans="1:13" x14ac:dyDescent="0.25">
      <c r="A958" s="6">
        <v>1957</v>
      </c>
      <c r="B958" s="7">
        <v>45217.228523773148</v>
      </c>
      <c r="C958" s="7">
        <v>45217.228523773148</v>
      </c>
      <c r="D958" s="8">
        <v>45217.228523773148</v>
      </c>
      <c r="E958" s="9" t="s">
        <v>249</v>
      </c>
      <c r="F958" s="9" t="s">
        <v>19</v>
      </c>
      <c r="G958" s="9" t="s">
        <v>6</v>
      </c>
      <c r="H958" s="9" t="s">
        <v>31</v>
      </c>
      <c r="I958" s="9">
        <v>5</v>
      </c>
      <c r="J958" s="9">
        <v>814</v>
      </c>
      <c r="K958" s="10">
        <v>4070</v>
      </c>
      <c r="L958" s="9">
        <f>HOUR([1]restaurant_sales_1200!$B958)</f>
        <v>5</v>
      </c>
      <c r="M958" s="9" t="str">
        <f t="shared" si="3"/>
        <v>Wednesday</v>
      </c>
    </row>
    <row r="959" spans="1:13" x14ac:dyDescent="0.25">
      <c r="A959" s="6">
        <v>1958</v>
      </c>
      <c r="B959" s="7">
        <v>45217.532110092594</v>
      </c>
      <c r="C959" s="7">
        <v>45217.532110092594</v>
      </c>
      <c r="D959" s="8">
        <v>45217.532110092594</v>
      </c>
      <c r="E959" s="9" t="s">
        <v>304</v>
      </c>
      <c r="F959" s="9" t="s">
        <v>1</v>
      </c>
      <c r="G959" s="9" t="s">
        <v>9</v>
      </c>
      <c r="H959" s="9" t="s">
        <v>16</v>
      </c>
      <c r="I959" s="9">
        <v>5</v>
      </c>
      <c r="J959" s="9">
        <v>150</v>
      </c>
      <c r="K959" s="10">
        <v>750</v>
      </c>
      <c r="L959" s="9">
        <f>HOUR([1]restaurant_sales_1200!$B959)</f>
        <v>12</v>
      </c>
      <c r="M959" s="9" t="str">
        <f t="shared" si="3"/>
        <v>Thursday</v>
      </c>
    </row>
    <row r="960" spans="1:13" x14ac:dyDescent="0.25">
      <c r="A960" s="6">
        <v>1959</v>
      </c>
      <c r="B960" s="7">
        <v>45217.835696412039</v>
      </c>
      <c r="C960" s="7">
        <v>45217.835696412039</v>
      </c>
      <c r="D960" s="8">
        <v>45217.835696412039</v>
      </c>
      <c r="E960" s="9" t="s">
        <v>135</v>
      </c>
      <c r="F960" s="9" t="s">
        <v>5</v>
      </c>
      <c r="G960" s="9" t="s">
        <v>9</v>
      </c>
      <c r="H960" s="9" t="s">
        <v>47</v>
      </c>
      <c r="I960" s="9">
        <v>3</v>
      </c>
      <c r="J960" s="9">
        <v>882</v>
      </c>
      <c r="K960" s="10">
        <v>2646</v>
      </c>
      <c r="L960" s="9">
        <f>HOUR([1]restaurant_sales_1200!$B960)</f>
        <v>20</v>
      </c>
      <c r="M960" s="9" t="str">
        <f t="shared" si="3"/>
        <v>Friday</v>
      </c>
    </row>
    <row r="961" spans="1:13" x14ac:dyDescent="0.25">
      <c r="A961" s="6">
        <v>1960</v>
      </c>
      <c r="B961" s="7">
        <v>45218.139282731485</v>
      </c>
      <c r="C961" s="7">
        <v>45218.139282731485</v>
      </c>
      <c r="D961" s="8">
        <v>45218.139282731485</v>
      </c>
      <c r="E961" s="9" t="s">
        <v>162</v>
      </c>
      <c r="F961" s="9" t="s">
        <v>8</v>
      </c>
      <c r="G961" s="9" t="s">
        <v>15</v>
      </c>
      <c r="H961" s="9" t="s">
        <v>26</v>
      </c>
      <c r="I961" s="9">
        <v>1</v>
      </c>
      <c r="J961" s="9">
        <v>423</v>
      </c>
      <c r="K961" s="10">
        <v>423</v>
      </c>
      <c r="L961" s="9">
        <f>HOUR([1]restaurant_sales_1200!$B961)</f>
        <v>3</v>
      </c>
      <c r="M961" s="9" t="str">
        <f t="shared" si="3"/>
        <v>Saturday</v>
      </c>
    </row>
    <row r="962" spans="1:13" x14ac:dyDescent="0.25">
      <c r="A962" s="6">
        <v>1961</v>
      </c>
      <c r="B962" s="7">
        <v>45218.442869062499</v>
      </c>
      <c r="C962" s="7">
        <v>45218.442869062499</v>
      </c>
      <c r="D962" s="8">
        <v>45218.442869062499</v>
      </c>
      <c r="E962" s="9" t="s">
        <v>257</v>
      </c>
      <c r="F962" s="9" t="s">
        <v>8</v>
      </c>
      <c r="G962" s="9" t="s">
        <v>6</v>
      </c>
      <c r="H962" s="9" t="s">
        <v>24</v>
      </c>
      <c r="I962" s="9">
        <v>4</v>
      </c>
      <c r="J962" s="9">
        <v>888</v>
      </c>
      <c r="K962" s="10">
        <v>3552</v>
      </c>
      <c r="L962" s="9">
        <f>HOUR([1]restaurant_sales_1200!$B962)</f>
        <v>10</v>
      </c>
      <c r="M962" s="9" t="str">
        <f t="shared" si="3"/>
        <v>Sunday</v>
      </c>
    </row>
    <row r="963" spans="1:13" x14ac:dyDescent="0.25">
      <c r="A963" s="6">
        <v>1962</v>
      </c>
      <c r="B963" s="7">
        <v>45218.746455381945</v>
      </c>
      <c r="C963" s="7">
        <v>45218.746455381945</v>
      </c>
      <c r="D963" s="8">
        <v>45218.746455381945</v>
      </c>
      <c r="E963" s="9" t="s">
        <v>29</v>
      </c>
      <c r="F963" s="9" t="s">
        <v>1</v>
      </c>
      <c r="G963" s="9" t="s">
        <v>6</v>
      </c>
      <c r="H963" s="9" t="s">
        <v>33</v>
      </c>
      <c r="I963" s="9">
        <v>2</v>
      </c>
      <c r="J963" s="9">
        <v>240</v>
      </c>
      <c r="K963" s="10">
        <v>480</v>
      </c>
      <c r="L963" s="9">
        <f>HOUR([1]restaurant_sales_1200!$B963)</f>
        <v>17</v>
      </c>
      <c r="M963" s="9" t="str">
        <f t="shared" si="3"/>
        <v>Monday</v>
      </c>
    </row>
    <row r="964" spans="1:13" x14ac:dyDescent="0.25">
      <c r="A964" s="6">
        <v>1963</v>
      </c>
      <c r="B964" s="7">
        <v>45219.05004170139</v>
      </c>
      <c r="C964" s="7">
        <v>45219.05004170139</v>
      </c>
      <c r="D964" s="8">
        <v>45219.05004170139</v>
      </c>
      <c r="E964" s="9" t="s">
        <v>169</v>
      </c>
      <c r="F964" s="9" t="s">
        <v>19</v>
      </c>
      <c r="G964" s="9" t="s">
        <v>2</v>
      </c>
      <c r="H964" s="9" t="s">
        <v>10</v>
      </c>
      <c r="I964" s="9">
        <v>2</v>
      </c>
      <c r="J964" s="9">
        <v>569</v>
      </c>
      <c r="K964" s="10">
        <v>1138</v>
      </c>
      <c r="L964" s="9">
        <f>HOUR([1]restaurant_sales_1200!$B964)</f>
        <v>1</v>
      </c>
      <c r="M964" s="9" t="str">
        <f t="shared" si="3"/>
        <v>Tuesday</v>
      </c>
    </row>
    <row r="965" spans="1:13" x14ac:dyDescent="0.25">
      <c r="A965" s="6">
        <v>1964</v>
      </c>
      <c r="B965" s="7">
        <v>45219.353628020835</v>
      </c>
      <c r="C965" s="7">
        <v>45219.353628020835</v>
      </c>
      <c r="D965" s="8">
        <v>45219.353628020835</v>
      </c>
      <c r="E965" s="9" t="s">
        <v>53</v>
      </c>
      <c r="F965" s="9" t="s">
        <v>8</v>
      </c>
      <c r="G965" s="9" t="s">
        <v>30</v>
      </c>
      <c r="H965" s="9" t="s">
        <v>24</v>
      </c>
      <c r="I965" s="9">
        <v>5</v>
      </c>
      <c r="J965" s="9">
        <v>886</v>
      </c>
      <c r="K965" s="10">
        <v>4430</v>
      </c>
      <c r="L965" s="9">
        <f>HOUR([1]restaurant_sales_1200!$B965)</f>
        <v>8</v>
      </c>
      <c r="M965" s="9" t="str">
        <f t="shared" si="3"/>
        <v>Wednesday</v>
      </c>
    </row>
    <row r="966" spans="1:13" x14ac:dyDescent="0.25">
      <c r="A966" s="6">
        <v>1965</v>
      </c>
      <c r="B966" s="7">
        <v>45219.657214340281</v>
      </c>
      <c r="C966" s="7">
        <v>45219.657214340281</v>
      </c>
      <c r="D966" s="8">
        <v>45219.657214340281</v>
      </c>
      <c r="E966" s="9" t="s">
        <v>264</v>
      </c>
      <c r="F966" s="9" t="s">
        <v>19</v>
      </c>
      <c r="G966" s="9" t="s">
        <v>30</v>
      </c>
      <c r="H966" s="9" t="s">
        <v>10</v>
      </c>
      <c r="I966" s="9">
        <v>3</v>
      </c>
      <c r="J966" s="9">
        <v>901</v>
      </c>
      <c r="K966" s="10">
        <v>2703</v>
      </c>
      <c r="L966" s="9">
        <f>HOUR([1]restaurant_sales_1200!$B966)</f>
        <v>15</v>
      </c>
      <c r="M966" s="9" t="str">
        <f t="shared" si="3"/>
        <v>Thursday</v>
      </c>
    </row>
    <row r="967" spans="1:13" x14ac:dyDescent="0.25">
      <c r="A967" s="6">
        <v>1966</v>
      </c>
      <c r="B967" s="7">
        <v>45219.960800671295</v>
      </c>
      <c r="C967" s="7">
        <v>45219.960800671295</v>
      </c>
      <c r="D967" s="8">
        <v>45219.960800671295</v>
      </c>
      <c r="E967" s="9" t="s">
        <v>163</v>
      </c>
      <c r="F967" s="9" t="s">
        <v>8</v>
      </c>
      <c r="G967" s="9" t="s">
        <v>15</v>
      </c>
      <c r="H967" s="9" t="s">
        <v>13</v>
      </c>
      <c r="I967" s="9">
        <v>2</v>
      </c>
      <c r="J967" s="9">
        <v>433</v>
      </c>
      <c r="K967" s="10">
        <v>866</v>
      </c>
      <c r="L967" s="9">
        <f>HOUR([1]restaurant_sales_1200!$B967)</f>
        <v>23</v>
      </c>
      <c r="M967" s="9" t="str">
        <f t="shared" si="3"/>
        <v>Friday</v>
      </c>
    </row>
    <row r="968" spans="1:13" x14ac:dyDescent="0.25">
      <c r="A968" s="6">
        <v>1967</v>
      </c>
      <c r="B968" s="7">
        <v>45220.264386990741</v>
      </c>
      <c r="C968" s="7">
        <v>45220.264386990741</v>
      </c>
      <c r="D968" s="8">
        <v>45220.264386990741</v>
      </c>
      <c r="E968" s="9" t="s">
        <v>111</v>
      </c>
      <c r="F968" s="9" t="s">
        <v>8</v>
      </c>
      <c r="G968" s="9" t="s">
        <v>15</v>
      </c>
      <c r="H968" s="9" t="s">
        <v>33</v>
      </c>
      <c r="I968" s="9">
        <v>1</v>
      </c>
      <c r="J968" s="9">
        <v>992</v>
      </c>
      <c r="K968" s="10">
        <v>992</v>
      </c>
      <c r="L968" s="9">
        <f>HOUR([1]restaurant_sales_1200!$B968)</f>
        <v>6</v>
      </c>
      <c r="M968" s="9" t="str">
        <f t="shared" si="3"/>
        <v>Saturday</v>
      </c>
    </row>
    <row r="969" spans="1:13" x14ac:dyDescent="0.25">
      <c r="A969" s="6">
        <v>1968</v>
      </c>
      <c r="B969" s="7">
        <v>45220.567973310186</v>
      </c>
      <c r="C969" s="7">
        <v>45220.567973310186</v>
      </c>
      <c r="D969" s="8">
        <v>45220.567973310186</v>
      </c>
      <c r="E969" s="9" t="s">
        <v>110</v>
      </c>
      <c r="F969" s="9" t="s">
        <v>5</v>
      </c>
      <c r="G969" s="9" t="s">
        <v>15</v>
      </c>
      <c r="H969" s="9" t="s">
        <v>24</v>
      </c>
      <c r="I969" s="9">
        <v>5</v>
      </c>
      <c r="J969" s="9">
        <v>472</v>
      </c>
      <c r="K969" s="10">
        <v>2360</v>
      </c>
      <c r="L969" s="9">
        <f>HOUR([1]restaurant_sales_1200!$B969)</f>
        <v>13</v>
      </c>
      <c r="M969" s="9" t="str">
        <f t="shared" si="3"/>
        <v>Sunday</v>
      </c>
    </row>
    <row r="970" spans="1:13" x14ac:dyDescent="0.25">
      <c r="A970" s="6">
        <v>1969</v>
      </c>
      <c r="B970" s="7">
        <v>45220.871559629632</v>
      </c>
      <c r="C970" s="7">
        <v>45220.871559629632</v>
      </c>
      <c r="D970" s="8">
        <v>45220.871559629632</v>
      </c>
      <c r="E970" s="9" t="s">
        <v>271</v>
      </c>
      <c r="F970" s="9" t="s">
        <v>19</v>
      </c>
      <c r="G970" s="9" t="s">
        <v>6</v>
      </c>
      <c r="H970" s="9" t="s">
        <v>10</v>
      </c>
      <c r="I970" s="9">
        <v>4</v>
      </c>
      <c r="J970" s="9">
        <v>663</v>
      </c>
      <c r="K970" s="10">
        <v>2652</v>
      </c>
      <c r="L970" s="9">
        <f>HOUR([1]restaurant_sales_1200!$B970)</f>
        <v>20</v>
      </c>
      <c r="M970" s="9" t="str">
        <f t="shared" si="3"/>
        <v>Monday</v>
      </c>
    </row>
    <row r="971" spans="1:13" x14ac:dyDescent="0.25">
      <c r="A971" s="6">
        <v>1970</v>
      </c>
      <c r="B971" s="7">
        <v>45221.175145960646</v>
      </c>
      <c r="C971" s="7">
        <v>45221.175145960646</v>
      </c>
      <c r="D971" s="8">
        <v>45221.175145960646</v>
      </c>
      <c r="E971" s="9" t="s">
        <v>258</v>
      </c>
      <c r="F971" s="9" t="s">
        <v>8</v>
      </c>
      <c r="G971" s="9" t="s">
        <v>9</v>
      </c>
      <c r="H971" s="9" t="s">
        <v>20</v>
      </c>
      <c r="I971" s="9">
        <v>5</v>
      </c>
      <c r="J971" s="9">
        <v>593</v>
      </c>
      <c r="K971" s="10">
        <v>2965</v>
      </c>
      <c r="L971" s="9">
        <f>HOUR([1]restaurant_sales_1200!$B971)</f>
        <v>4</v>
      </c>
      <c r="M971" s="9" t="str">
        <f t="shared" si="3"/>
        <v>Tuesday</v>
      </c>
    </row>
    <row r="972" spans="1:13" x14ac:dyDescent="0.25">
      <c r="A972" s="6">
        <v>1971</v>
      </c>
      <c r="B972" s="7">
        <v>45221.478732280091</v>
      </c>
      <c r="C972" s="7">
        <v>45221.478732280091</v>
      </c>
      <c r="D972" s="8">
        <v>45221.478732280091</v>
      </c>
      <c r="E972" s="9" t="s">
        <v>222</v>
      </c>
      <c r="F972" s="9" t="s">
        <v>5</v>
      </c>
      <c r="G972" s="9" t="s">
        <v>9</v>
      </c>
      <c r="H972" s="9" t="s">
        <v>16</v>
      </c>
      <c r="I972" s="9">
        <v>4</v>
      </c>
      <c r="J972" s="9">
        <v>638</v>
      </c>
      <c r="K972" s="10">
        <v>2552</v>
      </c>
      <c r="L972" s="9">
        <f>HOUR([1]restaurant_sales_1200!$B972)</f>
        <v>11</v>
      </c>
      <c r="M972" s="9" t="str">
        <f t="shared" si="3"/>
        <v>Wednesday</v>
      </c>
    </row>
    <row r="973" spans="1:13" x14ac:dyDescent="0.25">
      <c r="A973" s="6">
        <v>1972</v>
      </c>
      <c r="B973" s="7">
        <v>45221.782318599537</v>
      </c>
      <c r="C973" s="7">
        <v>45221.782318599537</v>
      </c>
      <c r="D973" s="8">
        <v>45221.782318599537</v>
      </c>
      <c r="E973" s="9" t="s">
        <v>141</v>
      </c>
      <c r="F973" s="9" t="s">
        <v>8</v>
      </c>
      <c r="G973" s="9" t="s">
        <v>2</v>
      </c>
      <c r="H973" s="9" t="s">
        <v>10</v>
      </c>
      <c r="I973" s="9">
        <v>5</v>
      </c>
      <c r="J973" s="9">
        <v>768</v>
      </c>
      <c r="K973" s="10">
        <v>3840</v>
      </c>
      <c r="L973" s="9">
        <f>HOUR([1]restaurant_sales_1200!$B973)</f>
        <v>18</v>
      </c>
      <c r="M973" s="9" t="str">
        <f t="shared" si="3"/>
        <v>Thursday</v>
      </c>
    </row>
    <row r="974" spans="1:13" x14ac:dyDescent="0.25">
      <c r="A974" s="6">
        <v>1973</v>
      </c>
      <c r="B974" s="7">
        <v>45222.085904918982</v>
      </c>
      <c r="C974" s="7">
        <v>45222.085904918982</v>
      </c>
      <c r="D974" s="8">
        <v>45222.085904918982</v>
      </c>
      <c r="E974" s="9" t="s">
        <v>192</v>
      </c>
      <c r="F974" s="9" t="s">
        <v>5</v>
      </c>
      <c r="G974" s="9" t="s">
        <v>30</v>
      </c>
      <c r="H974" s="9" t="s">
        <v>13</v>
      </c>
      <c r="I974" s="9">
        <v>5</v>
      </c>
      <c r="J974" s="9">
        <v>850</v>
      </c>
      <c r="K974" s="10">
        <v>4250</v>
      </c>
      <c r="L974" s="9">
        <f>HOUR([1]restaurant_sales_1200!$B974)</f>
        <v>2</v>
      </c>
      <c r="M974" s="9" t="str">
        <f t="shared" si="3"/>
        <v>Friday</v>
      </c>
    </row>
    <row r="975" spans="1:13" x14ac:dyDescent="0.25">
      <c r="A975" s="6">
        <v>1974</v>
      </c>
      <c r="B975" s="7">
        <v>45222.389491238428</v>
      </c>
      <c r="C975" s="7">
        <v>45222.389491238428</v>
      </c>
      <c r="D975" s="8">
        <v>45222.389491238428</v>
      </c>
      <c r="E975" s="9" t="s">
        <v>157</v>
      </c>
      <c r="F975" s="9" t="s">
        <v>5</v>
      </c>
      <c r="G975" s="9" t="s">
        <v>30</v>
      </c>
      <c r="H975" s="9" t="s">
        <v>26</v>
      </c>
      <c r="I975" s="9">
        <v>5</v>
      </c>
      <c r="J975" s="9">
        <v>255</v>
      </c>
      <c r="K975" s="10">
        <v>1275</v>
      </c>
      <c r="L975" s="9">
        <f>HOUR([1]restaurant_sales_1200!$B975)</f>
        <v>9</v>
      </c>
      <c r="M975" s="9" t="str">
        <f t="shared" si="3"/>
        <v>Saturday</v>
      </c>
    </row>
    <row r="976" spans="1:13" x14ac:dyDescent="0.25">
      <c r="A976" s="6">
        <v>1975</v>
      </c>
      <c r="B976" s="7">
        <v>45222.693077569442</v>
      </c>
      <c r="C976" s="7">
        <v>45222.693077569442</v>
      </c>
      <c r="D976" s="8">
        <v>45222.693077569442</v>
      </c>
      <c r="E976" s="9" t="s">
        <v>68</v>
      </c>
      <c r="F976" s="9" t="s">
        <v>19</v>
      </c>
      <c r="G976" s="9" t="s">
        <v>2</v>
      </c>
      <c r="H976" s="9" t="s">
        <v>26</v>
      </c>
      <c r="I976" s="9">
        <v>4</v>
      </c>
      <c r="J976" s="9">
        <v>390</v>
      </c>
      <c r="K976" s="10">
        <v>1560</v>
      </c>
      <c r="L976" s="9">
        <f>HOUR([1]restaurant_sales_1200!$B976)</f>
        <v>16</v>
      </c>
      <c r="M976" s="9" t="str">
        <f t="shared" si="3"/>
        <v>Sunday</v>
      </c>
    </row>
    <row r="977" spans="1:13" x14ac:dyDescent="0.25">
      <c r="A977" s="6">
        <v>1976</v>
      </c>
      <c r="B977" s="7">
        <v>45222.996663888887</v>
      </c>
      <c r="C977" s="7">
        <v>45222.996663888887</v>
      </c>
      <c r="D977" s="8">
        <v>45222.996663888887</v>
      </c>
      <c r="E977" s="9" t="s">
        <v>268</v>
      </c>
      <c r="F977" s="9" t="s">
        <v>5</v>
      </c>
      <c r="G977" s="9" t="s">
        <v>6</v>
      </c>
      <c r="H977" s="9" t="s">
        <v>31</v>
      </c>
      <c r="I977" s="9">
        <v>4</v>
      </c>
      <c r="J977" s="9">
        <v>747</v>
      </c>
      <c r="K977" s="10">
        <v>2988</v>
      </c>
      <c r="L977" s="9">
        <f>HOUR([1]restaurant_sales_1200!$B977)</f>
        <v>23</v>
      </c>
      <c r="M977" s="9" t="str">
        <f t="shared" si="3"/>
        <v>Monday</v>
      </c>
    </row>
    <row r="978" spans="1:13" x14ac:dyDescent="0.25">
      <c r="A978" s="6">
        <v>1977</v>
      </c>
      <c r="B978" s="7">
        <v>45223.300250208333</v>
      </c>
      <c r="C978" s="7">
        <v>45223.300250208333</v>
      </c>
      <c r="D978" s="8">
        <v>45223.300250208333</v>
      </c>
      <c r="E978" s="9" t="s">
        <v>68</v>
      </c>
      <c r="F978" s="9" t="s">
        <v>8</v>
      </c>
      <c r="G978" s="9" t="s">
        <v>9</v>
      </c>
      <c r="H978" s="9" t="s">
        <v>10</v>
      </c>
      <c r="I978" s="9">
        <v>5</v>
      </c>
      <c r="J978" s="9">
        <v>243</v>
      </c>
      <c r="K978" s="10">
        <v>1215</v>
      </c>
      <c r="L978" s="9">
        <f>HOUR([1]restaurant_sales_1200!$B978)</f>
        <v>7</v>
      </c>
      <c r="M978" s="9" t="str">
        <f t="shared" si="3"/>
        <v>Tuesday</v>
      </c>
    </row>
    <row r="979" spans="1:13" x14ac:dyDescent="0.25">
      <c r="A979" s="6">
        <v>1978</v>
      </c>
      <c r="B979" s="7">
        <v>45223.603836527778</v>
      </c>
      <c r="C979" s="7">
        <v>45223.603836527778</v>
      </c>
      <c r="D979" s="8">
        <v>45223.603836527778</v>
      </c>
      <c r="E979" s="9" t="s">
        <v>307</v>
      </c>
      <c r="F979" s="9" t="s">
        <v>1</v>
      </c>
      <c r="G979" s="9" t="s">
        <v>15</v>
      </c>
      <c r="H979" s="9" t="s">
        <v>47</v>
      </c>
      <c r="I979" s="9">
        <v>2</v>
      </c>
      <c r="J979" s="9">
        <v>205</v>
      </c>
      <c r="K979" s="10">
        <v>410</v>
      </c>
      <c r="L979" s="9">
        <f>HOUR([1]restaurant_sales_1200!$B979)</f>
        <v>14</v>
      </c>
      <c r="M979" s="9" t="str">
        <f t="shared" si="3"/>
        <v>Wednesday</v>
      </c>
    </row>
    <row r="980" spans="1:13" x14ac:dyDescent="0.25">
      <c r="A980" s="6">
        <v>1979</v>
      </c>
      <c r="B980" s="7">
        <v>45223.907422847224</v>
      </c>
      <c r="C980" s="7">
        <v>45223.907422847224</v>
      </c>
      <c r="D980" s="8">
        <v>45223.907422847224</v>
      </c>
      <c r="E980" s="9" t="s">
        <v>253</v>
      </c>
      <c r="F980" s="9" t="s">
        <v>8</v>
      </c>
      <c r="G980" s="9" t="s">
        <v>9</v>
      </c>
      <c r="H980" s="9" t="s">
        <v>3</v>
      </c>
      <c r="I980" s="9">
        <v>3</v>
      </c>
      <c r="J980" s="9">
        <v>519</v>
      </c>
      <c r="K980" s="10">
        <v>1557</v>
      </c>
      <c r="L980" s="9">
        <f>HOUR([1]restaurant_sales_1200!$B980)</f>
        <v>21</v>
      </c>
      <c r="M980" s="9" t="str">
        <f t="shared" si="3"/>
        <v>Thursday</v>
      </c>
    </row>
    <row r="981" spans="1:13" x14ac:dyDescent="0.25">
      <c r="A981" s="6">
        <v>1980</v>
      </c>
      <c r="B981" s="7">
        <v>45224.211009178238</v>
      </c>
      <c r="C981" s="7">
        <v>45224.211009178238</v>
      </c>
      <c r="D981" s="8">
        <v>45224.211009178238</v>
      </c>
      <c r="E981" s="9" t="s">
        <v>180</v>
      </c>
      <c r="F981" s="9" t="s">
        <v>8</v>
      </c>
      <c r="G981" s="9" t="s">
        <v>2</v>
      </c>
      <c r="H981" s="9" t="s">
        <v>16</v>
      </c>
      <c r="I981" s="9">
        <v>3</v>
      </c>
      <c r="J981" s="9">
        <v>769</v>
      </c>
      <c r="K981" s="10">
        <v>2307</v>
      </c>
      <c r="L981" s="9">
        <f>HOUR([1]restaurant_sales_1200!$B981)</f>
        <v>5</v>
      </c>
      <c r="M981" s="9" t="str">
        <f t="shared" si="3"/>
        <v>Friday</v>
      </c>
    </row>
    <row r="982" spans="1:13" x14ac:dyDescent="0.25">
      <c r="A982" s="6">
        <v>1981</v>
      </c>
      <c r="B982" s="7">
        <v>45224.514595497683</v>
      </c>
      <c r="C982" s="7">
        <v>45224.514595497683</v>
      </c>
      <c r="D982" s="8">
        <v>45224.514595497683</v>
      </c>
      <c r="E982" s="9" t="s">
        <v>94</v>
      </c>
      <c r="F982" s="9" t="s">
        <v>5</v>
      </c>
      <c r="G982" s="9" t="s">
        <v>9</v>
      </c>
      <c r="H982" s="9" t="s">
        <v>20</v>
      </c>
      <c r="I982" s="9">
        <v>3</v>
      </c>
      <c r="J982" s="9">
        <v>757</v>
      </c>
      <c r="K982" s="10">
        <v>2271</v>
      </c>
      <c r="L982" s="9">
        <f>HOUR([1]restaurant_sales_1200!$B982)</f>
        <v>12</v>
      </c>
      <c r="M982" s="9" t="str">
        <f t="shared" si="3"/>
        <v>Saturday</v>
      </c>
    </row>
    <row r="983" spans="1:13" x14ac:dyDescent="0.25">
      <c r="A983" s="6">
        <v>1982</v>
      </c>
      <c r="B983" s="7">
        <v>45224.818181817129</v>
      </c>
      <c r="C983" s="7">
        <v>45224.818181817129</v>
      </c>
      <c r="D983" s="8">
        <v>45224.818181817129</v>
      </c>
      <c r="E983" s="9" t="s">
        <v>242</v>
      </c>
      <c r="F983" s="9" t="s">
        <v>8</v>
      </c>
      <c r="G983" s="9" t="s">
        <v>15</v>
      </c>
      <c r="H983" s="9" t="s">
        <v>31</v>
      </c>
      <c r="I983" s="9">
        <v>4</v>
      </c>
      <c r="J983" s="9">
        <v>101</v>
      </c>
      <c r="K983" s="10">
        <v>404</v>
      </c>
      <c r="L983" s="9">
        <f>HOUR([1]restaurant_sales_1200!$B983)</f>
        <v>19</v>
      </c>
      <c r="M983" s="9" t="str">
        <f t="shared" si="3"/>
        <v>Sunday</v>
      </c>
    </row>
    <row r="984" spans="1:13" x14ac:dyDescent="0.25">
      <c r="A984" s="6">
        <v>1983</v>
      </c>
      <c r="B984" s="7">
        <v>45225.121768136574</v>
      </c>
      <c r="C984" s="7">
        <v>45225.121768136574</v>
      </c>
      <c r="D984" s="8">
        <v>45225.121768136574</v>
      </c>
      <c r="E984" s="9" t="s">
        <v>44</v>
      </c>
      <c r="F984" s="9" t="s">
        <v>5</v>
      </c>
      <c r="G984" s="9" t="s">
        <v>30</v>
      </c>
      <c r="H984" s="9" t="s">
        <v>3</v>
      </c>
      <c r="I984" s="9">
        <v>4</v>
      </c>
      <c r="J984" s="9">
        <v>688</v>
      </c>
      <c r="K984" s="10">
        <v>2752</v>
      </c>
      <c r="L984" s="9">
        <f>HOUR([1]restaurant_sales_1200!$B984)</f>
        <v>2</v>
      </c>
      <c r="M984" s="9" t="str">
        <f t="shared" si="3"/>
        <v>Monday</v>
      </c>
    </row>
    <row r="985" spans="1:13" x14ac:dyDescent="0.25">
      <c r="A985" s="6">
        <v>1984</v>
      </c>
      <c r="B985" s="7">
        <v>45225.425354467596</v>
      </c>
      <c r="C985" s="7">
        <v>45225.425354467596</v>
      </c>
      <c r="D985" s="8">
        <v>45225.425354467596</v>
      </c>
      <c r="E985" s="9" t="s">
        <v>177</v>
      </c>
      <c r="F985" s="9" t="s">
        <v>19</v>
      </c>
      <c r="G985" s="9" t="s">
        <v>2</v>
      </c>
      <c r="H985" s="9" t="s">
        <v>26</v>
      </c>
      <c r="I985" s="9">
        <v>2</v>
      </c>
      <c r="J985" s="9">
        <v>743</v>
      </c>
      <c r="K985" s="10">
        <v>1486</v>
      </c>
      <c r="L985" s="9">
        <f>HOUR([1]restaurant_sales_1200!$B985)</f>
        <v>10</v>
      </c>
      <c r="M985" s="9" t="str">
        <f t="shared" si="3"/>
        <v>Tuesday</v>
      </c>
    </row>
    <row r="986" spans="1:13" x14ac:dyDescent="0.25">
      <c r="A986" s="6">
        <v>1985</v>
      </c>
      <c r="B986" s="7">
        <v>45225.728940787034</v>
      </c>
      <c r="C986" s="7">
        <v>45225.728940787034</v>
      </c>
      <c r="D986" s="8">
        <v>45225.728940787034</v>
      </c>
      <c r="E986" s="9" t="s">
        <v>229</v>
      </c>
      <c r="F986" s="9" t="s">
        <v>5</v>
      </c>
      <c r="G986" s="9" t="s">
        <v>6</v>
      </c>
      <c r="H986" s="9" t="s">
        <v>24</v>
      </c>
      <c r="I986" s="9">
        <v>3</v>
      </c>
      <c r="J986" s="9">
        <v>189</v>
      </c>
      <c r="K986" s="10">
        <v>567</v>
      </c>
      <c r="L986" s="9">
        <f>HOUR([1]restaurant_sales_1200!$B986)</f>
        <v>17</v>
      </c>
      <c r="M986" s="9" t="str">
        <f t="shared" si="3"/>
        <v>Wednesday</v>
      </c>
    </row>
    <row r="987" spans="1:13" x14ac:dyDescent="0.25">
      <c r="A987" s="6">
        <v>1986</v>
      </c>
      <c r="B987" s="7">
        <v>45226.032527106479</v>
      </c>
      <c r="C987" s="7">
        <v>45226.032527106479</v>
      </c>
      <c r="D987" s="8">
        <v>45226.032527106479</v>
      </c>
      <c r="E987" s="9" t="s">
        <v>52</v>
      </c>
      <c r="F987" s="9" t="s">
        <v>19</v>
      </c>
      <c r="G987" s="9" t="s">
        <v>9</v>
      </c>
      <c r="H987" s="9" t="s">
        <v>10</v>
      </c>
      <c r="I987" s="9">
        <v>3</v>
      </c>
      <c r="J987" s="9">
        <v>444</v>
      </c>
      <c r="K987" s="10">
        <v>1332</v>
      </c>
      <c r="L987" s="9">
        <f>HOUR([1]restaurant_sales_1200!$B987)</f>
        <v>0</v>
      </c>
      <c r="M987" s="9" t="str">
        <f t="shared" si="3"/>
        <v>Thursday</v>
      </c>
    </row>
    <row r="988" spans="1:13" x14ac:dyDescent="0.25">
      <c r="A988" s="6">
        <v>1987</v>
      </c>
      <c r="B988" s="7">
        <v>45226.336113425925</v>
      </c>
      <c r="C988" s="7">
        <v>45226.336113425925</v>
      </c>
      <c r="D988" s="8">
        <v>45226.336113425925</v>
      </c>
      <c r="E988" s="9" t="s">
        <v>153</v>
      </c>
      <c r="F988" s="9" t="s">
        <v>1</v>
      </c>
      <c r="G988" s="9" t="s">
        <v>9</v>
      </c>
      <c r="H988" s="9" t="s">
        <v>3</v>
      </c>
      <c r="I988" s="9">
        <v>5</v>
      </c>
      <c r="J988" s="9">
        <v>449</v>
      </c>
      <c r="K988" s="10">
        <v>2245</v>
      </c>
      <c r="L988" s="9">
        <f>HOUR([1]restaurant_sales_1200!$B988)</f>
        <v>8</v>
      </c>
      <c r="M988" s="9" t="str">
        <f t="shared" si="3"/>
        <v>Friday</v>
      </c>
    </row>
    <row r="989" spans="1:13" x14ac:dyDescent="0.25">
      <c r="A989" s="6">
        <v>1988</v>
      </c>
      <c r="B989" s="7">
        <v>45226.63969974537</v>
      </c>
      <c r="C989" s="7">
        <v>45226.63969974537</v>
      </c>
      <c r="D989" s="8">
        <v>45226.63969974537</v>
      </c>
      <c r="E989" s="9" t="s">
        <v>282</v>
      </c>
      <c r="F989" s="9" t="s">
        <v>8</v>
      </c>
      <c r="G989" s="9" t="s">
        <v>6</v>
      </c>
      <c r="H989" s="9" t="s">
        <v>20</v>
      </c>
      <c r="I989" s="9">
        <v>4</v>
      </c>
      <c r="J989" s="9">
        <v>558</v>
      </c>
      <c r="K989" s="10">
        <v>2232</v>
      </c>
      <c r="L989" s="9">
        <f>HOUR([1]restaurant_sales_1200!$B989)</f>
        <v>15</v>
      </c>
      <c r="M989" s="9" t="str">
        <f t="shared" si="3"/>
        <v>Saturday</v>
      </c>
    </row>
    <row r="990" spans="1:13" x14ac:dyDescent="0.25">
      <c r="A990" s="6">
        <v>1989</v>
      </c>
      <c r="B990" s="7">
        <v>45226.943286076392</v>
      </c>
      <c r="C990" s="7">
        <v>45226.943286076392</v>
      </c>
      <c r="D990" s="8">
        <v>45226.943286076392</v>
      </c>
      <c r="E990" s="9" t="s">
        <v>193</v>
      </c>
      <c r="F990" s="9" t="s">
        <v>19</v>
      </c>
      <c r="G990" s="9" t="s">
        <v>6</v>
      </c>
      <c r="H990" s="9" t="s">
        <v>33</v>
      </c>
      <c r="I990" s="9">
        <v>3</v>
      </c>
      <c r="J990" s="9">
        <v>362</v>
      </c>
      <c r="K990" s="10">
        <v>1086</v>
      </c>
      <c r="L990" s="9">
        <f>HOUR([1]restaurant_sales_1200!$B990)</f>
        <v>22</v>
      </c>
      <c r="M990" s="9" t="str">
        <f t="shared" si="3"/>
        <v>Sunday</v>
      </c>
    </row>
    <row r="991" spans="1:13" x14ac:dyDescent="0.25">
      <c r="A991" s="6">
        <v>1990</v>
      </c>
      <c r="B991" s="7">
        <v>45227.24687239583</v>
      </c>
      <c r="C991" s="7">
        <v>45227.24687239583</v>
      </c>
      <c r="D991" s="8">
        <v>45227.24687239583</v>
      </c>
      <c r="E991" s="9" t="s">
        <v>233</v>
      </c>
      <c r="F991" s="9" t="s">
        <v>1</v>
      </c>
      <c r="G991" s="9" t="s">
        <v>15</v>
      </c>
      <c r="H991" s="9" t="s">
        <v>33</v>
      </c>
      <c r="I991" s="9">
        <v>2</v>
      </c>
      <c r="J991" s="9">
        <v>450</v>
      </c>
      <c r="K991" s="10">
        <v>900</v>
      </c>
      <c r="L991" s="9">
        <f>HOUR([1]restaurant_sales_1200!$B991)</f>
        <v>5</v>
      </c>
      <c r="M991" s="9" t="str">
        <f t="shared" si="3"/>
        <v>Monday</v>
      </c>
    </row>
    <row r="992" spans="1:13" x14ac:dyDescent="0.25">
      <c r="A992" s="6">
        <v>1991</v>
      </c>
      <c r="B992" s="7">
        <v>45227.550458715275</v>
      </c>
      <c r="C992" s="7">
        <v>45227.550458715275</v>
      </c>
      <c r="D992" s="8">
        <v>45227.550458715275</v>
      </c>
      <c r="E992" s="9" t="s">
        <v>78</v>
      </c>
      <c r="F992" s="9" t="s">
        <v>5</v>
      </c>
      <c r="G992" s="9" t="s">
        <v>9</v>
      </c>
      <c r="H992" s="9" t="s">
        <v>26</v>
      </c>
      <c r="I992" s="9">
        <v>2</v>
      </c>
      <c r="J992" s="9">
        <v>207</v>
      </c>
      <c r="K992" s="10">
        <v>414</v>
      </c>
      <c r="L992" s="9">
        <f>HOUR([1]restaurant_sales_1200!$B992)</f>
        <v>13</v>
      </c>
      <c r="M992" s="9" t="str">
        <f t="shared" si="3"/>
        <v>Tuesday</v>
      </c>
    </row>
    <row r="993" spans="1:13" x14ac:dyDescent="0.25">
      <c r="A993" s="6">
        <v>1992</v>
      </c>
      <c r="B993" s="7">
        <v>45227.854045034721</v>
      </c>
      <c r="C993" s="7">
        <v>45227.854045034721</v>
      </c>
      <c r="D993" s="8">
        <v>45227.854045034721</v>
      </c>
      <c r="E993" s="9" t="s">
        <v>48</v>
      </c>
      <c r="F993" s="9" t="s">
        <v>1</v>
      </c>
      <c r="G993" s="9" t="s">
        <v>2</v>
      </c>
      <c r="H993" s="9" t="s">
        <v>24</v>
      </c>
      <c r="I993" s="9">
        <v>3</v>
      </c>
      <c r="J993" s="9">
        <v>685</v>
      </c>
      <c r="K993" s="10">
        <v>2055</v>
      </c>
      <c r="L993" s="9">
        <f>HOUR([1]restaurant_sales_1200!$B993)</f>
        <v>20</v>
      </c>
      <c r="M993" s="9" t="str">
        <f t="shared" si="3"/>
        <v>Wednesday</v>
      </c>
    </row>
    <row r="994" spans="1:13" x14ac:dyDescent="0.25">
      <c r="A994" s="6">
        <v>1993</v>
      </c>
      <c r="B994" s="7">
        <v>45228.157631354166</v>
      </c>
      <c r="C994" s="7">
        <v>45228.157631354166</v>
      </c>
      <c r="D994" s="8">
        <v>45228.157631354166</v>
      </c>
      <c r="E994" s="9" t="s">
        <v>264</v>
      </c>
      <c r="F994" s="9" t="s">
        <v>19</v>
      </c>
      <c r="G994" s="9" t="s">
        <v>9</v>
      </c>
      <c r="H994" s="9" t="s">
        <v>31</v>
      </c>
      <c r="I994" s="9">
        <v>4</v>
      </c>
      <c r="J994" s="9">
        <v>138</v>
      </c>
      <c r="K994" s="10">
        <v>552</v>
      </c>
      <c r="L994" s="9">
        <f>HOUR([1]restaurant_sales_1200!$B994)</f>
        <v>3</v>
      </c>
      <c r="M994" s="9" t="str">
        <f t="shared" si="3"/>
        <v>Thursday</v>
      </c>
    </row>
    <row r="995" spans="1:13" x14ac:dyDescent="0.25">
      <c r="A995" s="6">
        <v>1994</v>
      </c>
      <c r="B995" s="7">
        <v>45228.461217685188</v>
      </c>
      <c r="C995" s="7">
        <v>45228.461217685188</v>
      </c>
      <c r="D995" s="8">
        <v>45228.461217685188</v>
      </c>
      <c r="E995" s="9" t="s">
        <v>186</v>
      </c>
      <c r="F995" s="9" t="s">
        <v>8</v>
      </c>
      <c r="G995" s="9" t="s">
        <v>15</v>
      </c>
      <c r="H995" s="9" t="s">
        <v>24</v>
      </c>
      <c r="I995" s="9">
        <v>2</v>
      </c>
      <c r="J995" s="9">
        <v>258</v>
      </c>
      <c r="K995" s="10">
        <v>516</v>
      </c>
      <c r="L995" s="9">
        <f>HOUR([1]restaurant_sales_1200!$B995)</f>
        <v>11</v>
      </c>
      <c r="M995" s="9" t="str">
        <f t="shared" si="3"/>
        <v>Friday</v>
      </c>
    </row>
    <row r="996" spans="1:13" x14ac:dyDescent="0.25">
      <c r="A996" s="6">
        <v>1995</v>
      </c>
      <c r="B996" s="7">
        <v>45228.764804004626</v>
      </c>
      <c r="C996" s="7">
        <v>45228.764804004626</v>
      </c>
      <c r="D996" s="8">
        <v>45228.764804004626</v>
      </c>
      <c r="E996" s="9" t="s">
        <v>189</v>
      </c>
      <c r="F996" s="9" t="s">
        <v>1</v>
      </c>
      <c r="G996" s="9" t="s">
        <v>2</v>
      </c>
      <c r="H996" s="9" t="s">
        <v>33</v>
      </c>
      <c r="I996" s="9">
        <v>5</v>
      </c>
      <c r="J996" s="9">
        <v>682</v>
      </c>
      <c r="K996" s="10">
        <v>3410</v>
      </c>
      <c r="L996" s="9">
        <f>HOUR([1]restaurant_sales_1200!$B996)</f>
        <v>18</v>
      </c>
      <c r="M996" s="9" t="str">
        <f t="shared" si="3"/>
        <v>Saturday</v>
      </c>
    </row>
    <row r="997" spans="1:13" x14ac:dyDescent="0.25">
      <c r="A997" s="6">
        <v>1996</v>
      </c>
      <c r="B997" s="7">
        <v>45229.068390324072</v>
      </c>
      <c r="C997" s="7">
        <v>45229.068390324072</v>
      </c>
      <c r="D997" s="8">
        <v>45229.068390324072</v>
      </c>
      <c r="E997" s="9" t="s">
        <v>222</v>
      </c>
      <c r="F997" s="9" t="s">
        <v>1</v>
      </c>
      <c r="G997" s="9" t="s">
        <v>2</v>
      </c>
      <c r="H997" s="9" t="s">
        <v>10</v>
      </c>
      <c r="I997" s="9">
        <v>2</v>
      </c>
      <c r="J997" s="9">
        <v>411</v>
      </c>
      <c r="K997" s="10">
        <v>822</v>
      </c>
      <c r="L997" s="9">
        <f>HOUR([1]restaurant_sales_1200!$B997)</f>
        <v>1</v>
      </c>
      <c r="M997" s="9" t="str">
        <f t="shared" si="3"/>
        <v>Sunday</v>
      </c>
    </row>
    <row r="998" spans="1:13" x14ac:dyDescent="0.25">
      <c r="A998" s="6">
        <v>1997</v>
      </c>
      <c r="B998" s="7">
        <v>45229.371976643517</v>
      </c>
      <c r="C998" s="7">
        <v>45229.371976643517</v>
      </c>
      <c r="D998" s="8">
        <v>45229.371976643517</v>
      </c>
      <c r="E998" s="9" t="s">
        <v>64</v>
      </c>
      <c r="F998" s="9" t="s">
        <v>5</v>
      </c>
      <c r="G998" s="9" t="s">
        <v>2</v>
      </c>
      <c r="H998" s="9" t="s">
        <v>20</v>
      </c>
      <c r="I998" s="9">
        <v>1</v>
      </c>
      <c r="J998" s="9">
        <v>340</v>
      </c>
      <c r="K998" s="10">
        <v>340</v>
      </c>
      <c r="L998" s="9">
        <f>HOUR([1]restaurant_sales_1200!$B998)</f>
        <v>8</v>
      </c>
      <c r="M998" s="9" t="str">
        <f t="shared" si="3"/>
        <v>Monday</v>
      </c>
    </row>
    <row r="999" spans="1:13" x14ac:dyDescent="0.25">
      <c r="A999" s="6">
        <v>1998</v>
      </c>
      <c r="B999" s="7">
        <v>45229.675562974538</v>
      </c>
      <c r="C999" s="7">
        <v>45229.675562974538</v>
      </c>
      <c r="D999" s="8">
        <v>45229.675562974538</v>
      </c>
      <c r="E999" s="9" t="s">
        <v>195</v>
      </c>
      <c r="F999" s="9" t="s">
        <v>5</v>
      </c>
      <c r="G999" s="9" t="s">
        <v>15</v>
      </c>
      <c r="H999" s="9" t="s">
        <v>13</v>
      </c>
      <c r="I999" s="9">
        <v>1</v>
      </c>
      <c r="J999" s="9">
        <v>544</v>
      </c>
      <c r="K999" s="10">
        <v>544</v>
      </c>
      <c r="L999" s="9">
        <f>HOUR([1]restaurant_sales_1200!$B999)</f>
        <v>16</v>
      </c>
      <c r="M999" s="9" t="str">
        <f t="shared" si="3"/>
        <v>Tuesday</v>
      </c>
    </row>
    <row r="1000" spans="1:13" x14ac:dyDescent="0.25">
      <c r="A1000" s="6">
        <v>1999</v>
      </c>
      <c r="B1000" s="7">
        <v>45229.979149293984</v>
      </c>
      <c r="C1000" s="7">
        <v>45229.979149293984</v>
      </c>
      <c r="D1000" s="8">
        <v>45229.979149293984</v>
      </c>
      <c r="E1000" s="9" t="s">
        <v>300</v>
      </c>
      <c r="F1000" s="9" t="s">
        <v>8</v>
      </c>
      <c r="G1000" s="9" t="s">
        <v>9</v>
      </c>
      <c r="H1000" s="9" t="s">
        <v>10</v>
      </c>
      <c r="I1000" s="9">
        <v>4</v>
      </c>
      <c r="J1000" s="9">
        <v>397</v>
      </c>
      <c r="K1000" s="10">
        <v>1588</v>
      </c>
      <c r="L1000" s="9">
        <f>HOUR([1]restaurant_sales_1200!$B1000)</f>
        <v>23</v>
      </c>
      <c r="M1000" s="9" t="str">
        <f t="shared" si="3"/>
        <v>Wednesday</v>
      </c>
    </row>
    <row r="1001" spans="1:13" x14ac:dyDescent="0.25">
      <c r="A1001" s="6">
        <v>2000</v>
      </c>
      <c r="B1001" s="7">
        <v>45230.282735613429</v>
      </c>
      <c r="C1001" s="7">
        <v>45230.282735613429</v>
      </c>
      <c r="D1001" s="8">
        <v>45230.282735613429</v>
      </c>
      <c r="E1001" s="9" t="s">
        <v>66</v>
      </c>
      <c r="F1001" s="9" t="s">
        <v>5</v>
      </c>
      <c r="G1001" s="9" t="s">
        <v>30</v>
      </c>
      <c r="H1001" s="9" t="s">
        <v>13</v>
      </c>
      <c r="I1001" s="9">
        <v>3</v>
      </c>
      <c r="J1001" s="9">
        <v>135</v>
      </c>
      <c r="K1001" s="10">
        <v>405</v>
      </c>
      <c r="L1001" s="9">
        <f>HOUR([1]restaurant_sales_1200!$B1001)</f>
        <v>6</v>
      </c>
      <c r="M1001" s="9" t="str">
        <f t="shared" si="3"/>
        <v>Thursday</v>
      </c>
    </row>
    <row r="1002" spans="1:13" x14ac:dyDescent="0.25">
      <c r="A1002" s="6">
        <v>2001</v>
      </c>
      <c r="B1002" s="7">
        <v>45230.586321932868</v>
      </c>
      <c r="C1002" s="7">
        <v>45230.586321932868</v>
      </c>
      <c r="D1002" s="8">
        <v>45230.586321932868</v>
      </c>
      <c r="E1002" s="9" t="s">
        <v>105</v>
      </c>
      <c r="F1002" s="9" t="s">
        <v>19</v>
      </c>
      <c r="G1002" s="9" t="s">
        <v>2</v>
      </c>
      <c r="H1002" s="9" t="s">
        <v>31</v>
      </c>
      <c r="I1002" s="9">
        <v>4</v>
      </c>
      <c r="J1002" s="9">
        <v>183</v>
      </c>
      <c r="K1002" s="10">
        <v>732</v>
      </c>
      <c r="L1002" s="9">
        <f>HOUR([1]restaurant_sales_1200!$B1002)</f>
        <v>14</v>
      </c>
      <c r="M1002" s="9" t="str">
        <f t="shared" si="3"/>
        <v>Friday</v>
      </c>
    </row>
    <row r="1003" spans="1:13" x14ac:dyDescent="0.25">
      <c r="A1003" s="6">
        <v>2002</v>
      </c>
      <c r="B1003" s="7">
        <v>45230.889908252313</v>
      </c>
      <c r="C1003" s="7">
        <v>45230.889908252313</v>
      </c>
      <c r="D1003" s="8">
        <v>45230.889908252313</v>
      </c>
      <c r="E1003" s="9" t="s">
        <v>118</v>
      </c>
      <c r="F1003" s="9" t="s">
        <v>19</v>
      </c>
      <c r="G1003" s="9" t="s">
        <v>6</v>
      </c>
      <c r="H1003" s="9" t="s">
        <v>47</v>
      </c>
      <c r="I1003" s="9">
        <v>4</v>
      </c>
      <c r="J1003" s="9">
        <v>551</v>
      </c>
      <c r="K1003" s="10">
        <v>2204</v>
      </c>
      <c r="L1003" s="9">
        <f>HOUR([1]restaurant_sales_1200!$B1003)</f>
        <v>21</v>
      </c>
      <c r="M1003" s="9" t="str">
        <f t="shared" si="3"/>
        <v>Saturday</v>
      </c>
    </row>
    <row r="1004" spans="1:13" x14ac:dyDescent="0.25">
      <c r="A1004" s="6">
        <v>2003</v>
      </c>
      <c r="B1004" s="7">
        <v>45231.193494583335</v>
      </c>
      <c r="C1004" s="7">
        <v>45231.193494583335</v>
      </c>
      <c r="D1004" s="8">
        <v>45231.193494583335</v>
      </c>
      <c r="E1004" s="9" t="s">
        <v>171</v>
      </c>
      <c r="F1004" s="9" t="s">
        <v>1</v>
      </c>
      <c r="G1004" s="9" t="s">
        <v>15</v>
      </c>
      <c r="H1004" s="9" t="s">
        <v>10</v>
      </c>
      <c r="I1004" s="9">
        <v>4</v>
      </c>
      <c r="J1004" s="9">
        <v>985</v>
      </c>
      <c r="K1004" s="10">
        <v>3940</v>
      </c>
      <c r="L1004" s="9">
        <f>HOUR([1]restaurant_sales_1200!$B1004)</f>
        <v>4</v>
      </c>
      <c r="M1004" s="9" t="str">
        <f t="shared" si="3"/>
        <v>Sunday</v>
      </c>
    </row>
    <row r="1005" spans="1:13" x14ac:dyDescent="0.25">
      <c r="A1005" s="6">
        <v>2004</v>
      </c>
      <c r="B1005" s="7">
        <v>45231.49708090278</v>
      </c>
      <c r="C1005" s="7">
        <v>45231.49708090278</v>
      </c>
      <c r="D1005" s="8">
        <v>45231.49708090278</v>
      </c>
      <c r="E1005" s="9" t="s">
        <v>68</v>
      </c>
      <c r="F1005" s="9" t="s">
        <v>5</v>
      </c>
      <c r="G1005" s="9" t="s">
        <v>2</v>
      </c>
      <c r="H1005" s="9" t="s">
        <v>26</v>
      </c>
      <c r="I1005" s="9">
        <v>4</v>
      </c>
      <c r="J1005" s="9">
        <v>874</v>
      </c>
      <c r="K1005" s="10">
        <v>3496</v>
      </c>
      <c r="L1005" s="9">
        <f>HOUR([1]restaurant_sales_1200!$B1005)</f>
        <v>11</v>
      </c>
      <c r="M1005" s="9" t="str">
        <f t="shared" si="3"/>
        <v>Monday</v>
      </c>
    </row>
    <row r="1006" spans="1:13" x14ac:dyDescent="0.25">
      <c r="A1006" s="6">
        <v>2005</v>
      </c>
      <c r="B1006" s="7">
        <v>45231.800667222225</v>
      </c>
      <c r="C1006" s="7">
        <v>45231.800667222225</v>
      </c>
      <c r="D1006" s="8">
        <v>45231.800667222225</v>
      </c>
      <c r="E1006" s="9" t="s">
        <v>308</v>
      </c>
      <c r="F1006" s="9" t="s">
        <v>5</v>
      </c>
      <c r="G1006" s="9" t="s">
        <v>15</v>
      </c>
      <c r="H1006" s="9" t="s">
        <v>3</v>
      </c>
      <c r="I1006" s="9">
        <v>5</v>
      </c>
      <c r="J1006" s="9">
        <v>921</v>
      </c>
      <c r="K1006" s="10">
        <v>4605</v>
      </c>
      <c r="L1006" s="9">
        <f>HOUR([1]restaurant_sales_1200!$B1006)</f>
        <v>19</v>
      </c>
      <c r="M1006" s="9" t="str">
        <f t="shared" si="3"/>
        <v>Tuesday</v>
      </c>
    </row>
    <row r="1007" spans="1:13" x14ac:dyDescent="0.25">
      <c r="A1007" s="6">
        <v>2006</v>
      </c>
      <c r="B1007" s="7">
        <v>45232.104253541664</v>
      </c>
      <c r="C1007" s="7">
        <v>45232.104253541664</v>
      </c>
      <c r="D1007" s="8">
        <v>45232.104253541664</v>
      </c>
      <c r="E1007" s="9" t="s">
        <v>181</v>
      </c>
      <c r="F1007" s="9" t="s">
        <v>1</v>
      </c>
      <c r="G1007" s="9" t="s">
        <v>6</v>
      </c>
      <c r="H1007" s="9" t="s">
        <v>3</v>
      </c>
      <c r="I1007" s="9">
        <v>5</v>
      </c>
      <c r="J1007" s="9">
        <v>484</v>
      </c>
      <c r="K1007" s="10">
        <v>2420</v>
      </c>
      <c r="L1007" s="9">
        <f>HOUR([1]restaurant_sales_1200!$B1007)</f>
        <v>2</v>
      </c>
      <c r="M1007" s="9" t="str">
        <f t="shared" si="3"/>
        <v>Wednesday</v>
      </c>
    </row>
    <row r="1008" spans="1:13" x14ac:dyDescent="0.25">
      <c r="A1008" s="6">
        <v>2007</v>
      </c>
      <c r="B1008" s="7">
        <v>45232.407839861109</v>
      </c>
      <c r="C1008" s="7">
        <v>45232.407839861109</v>
      </c>
      <c r="D1008" s="8">
        <v>45232.407839861109</v>
      </c>
      <c r="E1008" s="9" t="s">
        <v>202</v>
      </c>
      <c r="F1008" s="9" t="s">
        <v>8</v>
      </c>
      <c r="G1008" s="9" t="s">
        <v>2</v>
      </c>
      <c r="H1008" s="9" t="s">
        <v>24</v>
      </c>
      <c r="I1008" s="9">
        <v>2</v>
      </c>
      <c r="J1008" s="9">
        <v>271</v>
      </c>
      <c r="K1008" s="10">
        <v>542</v>
      </c>
      <c r="L1008" s="9">
        <f>HOUR([1]restaurant_sales_1200!$B1008)</f>
        <v>9</v>
      </c>
      <c r="M1008" s="9" t="str">
        <f t="shared" si="3"/>
        <v>Thursday</v>
      </c>
    </row>
    <row r="1009" spans="1:13" x14ac:dyDescent="0.25">
      <c r="A1009" s="6">
        <v>2008</v>
      </c>
      <c r="B1009" s="7">
        <v>45232.711426192131</v>
      </c>
      <c r="C1009" s="7">
        <v>45232.711426192131</v>
      </c>
      <c r="D1009" s="8">
        <v>45232.711426192131</v>
      </c>
      <c r="E1009" s="9" t="s">
        <v>234</v>
      </c>
      <c r="F1009" s="9" t="s">
        <v>5</v>
      </c>
      <c r="G1009" s="9" t="s">
        <v>9</v>
      </c>
      <c r="H1009" s="9" t="s">
        <v>10</v>
      </c>
      <c r="I1009" s="9">
        <v>1</v>
      </c>
      <c r="J1009" s="9">
        <v>475</v>
      </c>
      <c r="K1009" s="10">
        <v>475</v>
      </c>
      <c r="L1009" s="9">
        <f>HOUR([1]restaurant_sales_1200!$B1009)</f>
        <v>17</v>
      </c>
      <c r="M1009" s="9" t="str">
        <f t="shared" si="3"/>
        <v>Friday</v>
      </c>
    </row>
    <row r="1010" spans="1:13" x14ac:dyDescent="0.25">
      <c r="A1010" s="6">
        <v>2009</v>
      </c>
      <c r="B1010" s="7">
        <v>45233.015012511576</v>
      </c>
      <c r="C1010" s="7">
        <v>45233.015012511576</v>
      </c>
      <c r="D1010" s="8">
        <v>45233.015012511576</v>
      </c>
      <c r="E1010" s="9" t="s">
        <v>65</v>
      </c>
      <c r="F1010" s="9" t="s">
        <v>5</v>
      </c>
      <c r="G1010" s="9" t="s">
        <v>15</v>
      </c>
      <c r="H1010" s="9" t="s">
        <v>26</v>
      </c>
      <c r="I1010" s="9">
        <v>4</v>
      </c>
      <c r="J1010" s="9">
        <v>784</v>
      </c>
      <c r="K1010" s="10">
        <v>3136</v>
      </c>
      <c r="L1010" s="9">
        <f>HOUR([1]restaurant_sales_1200!$B1010)</f>
        <v>0</v>
      </c>
      <c r="M1010" s="9" t="str">
        <f t="shared" si="3"/>
        <v>Saturday</v>
      </c>
    </row>
    <row r="1011" spans="1:13" x14ac:dyDescent="0.25">
      <c r="A1011" s="6">
        <v>2010</v>
      </c>
      <c r="B1011" s="7">
        <v>45233.318598831022</v>
      </c>
      <c r="C1011" s="7">
        <v>45233.318598831022</v>
      </c>
      <c r="D1011" s="8">
        <v>45233.318598831022</v>
      </c>
      <c r="E1011" s="9" t="s">
        <v>82</v>
      </c>
      <c r="F1011" s="9" t="s">
        <v>8</v>
      </c>
      <c r="G1011" s="9" t="s">
        <v>2</v>
      </c>
      <c r="H1011" s="9" t="s">
        <v>13</v>
      </c>
      <c r="I1011" s="9">
        <v>2</v>
      </c>
      <c r="J1011" s="9">
        <v>461</v>
      </c>
      <c r="K1011" s="10">
        <v>922</v>
      </c>
      <c r="L1011" s="9">
        <f>HOUR([1]restaurant_sales_1200!$B1011)</f>
        <v>7</v>
      </c>
      <c r="M1011" s="9" t="str">
        <f t="shared" si="3"/>
        <v>Sunday</v>
      </c>
    </row>
    <row r="1012" spans="1:13" x14ac:dyDescent="0.25">
      <c r="A1012" s="6">
        <v>2011</v>
      </c>
      <c r="B1012" s="7">
        <v>45233.62218515046</v>
      </c>
      <c r="C1012" s="7">
        <v>45233.62218515046</v>
      </c>
      <c r="D1012" s="8">
        <v>45233.62218515046</v>
      </c>
      <c r="E1012" s="9" t="s">
        <v>83</v>
      </c>
      <c r="F1012" s="9" t="s">
        <v>5</v>
      </c>
      <c r="G1012" s="9" t="s">
        <v>2</v>
      </c>
      <c r="H1012" s="9" t="s">
        <v>26</v>
      </c>
      <c r="I1012" s="9">
        <v>1</v>
      </c>
      <c r="J1012" s="9">
        <v>658</v>
      </c>
      <c r="K1012" s="10">
        <v>658</v>
      </c>
      <c r="L1012" s="9">
        <f>HOUR([1]restaurant_sales_1200!$B1012)</f>
        <v>14</v>
      </c>
      <c r="M1012" s="9" t="str">
        <f t="shared" si="3"/>
        <v>Monday</v>
      </c>
    </row>
    <row r="1013" spans="1:13" x14ac:dyDescent="0.25">
      <c r="A1013" s="6">
        <v>2012</v>
      </c>
      <c r="B1013" s="7">
        <v>45233.925771481481</v>
      </c>
      <c r="C1013" s="7">
        <v>45233.925771481481</v>
      </c>
      <c r="D1013" s="8">
        <v>45233.925771481481</v>
      </c>
      <c r="E1013" s="9" t="s">
        <v>60</v>
      </c>
      <c r="F1013" s="9" t="s">
        <v>19</v>
      </c>
      <c r="G1013" s="9" t="s">
        <v>15</v>
      </c>
      <c r="H1013" s="9" t="s">
        <v>3</v>
      </c>
      <c r="I1013" s="9">
        <v>3</v>
      </c>
      <c r="J1013" s="9">
        <v>990</v>
      </c>
      <c r="K1013" s="10">
        <v>2970</v>
      </c>
      <c r="L1013" s="9">
        <f>HOUR([1]restaurant_sales_1200!$B1013)</f>
        <v>22</v>
      </c>
      <c r="M1013" s="9" t="str">
        <f t="shared" si="3"/>
        <v>Tuesday</v>
      </c>
    </row>
    <row r="1014" spans="1:13" x14ac:dyDescent="0.25">
      <c r="A1014" s="6">
        <v>2013</v>
      </c>
      <c r="B1014" s="7">
        <v>45234.229357800927</v>
      </c>
      <c r="C1014" s="7">
        <v>45234.229357800927</v>
      </c>
      <c r="D1014" s="8">
        <v>45234.229357800927</v>
      </c>
      <c r="E1014" s="9" t="s">
        <v>50</v>
      </c>
      <c r="F1014" s="9" t="s">
        <v>19</v>
      </c>
      <c r="G1014" s="9" t="s">
        <v>6</v>
      </c>
      <c r="H1014" s="9" t="s">
        <v>10</v>
      </c>
      <c r="I1014" s="9">
        <v>5</v>
      </c>
      <c r="J1014" s="9">
        <v>240</v>
      </c>
      <c r="K1014" s="10">
        <v>1200</v>
      </c>
      <c r="L1014" s="9">
        <f>HOUR([1]restaurant_sales_1200!$B1014)</f>
        <v>5</v>
      </c>
      <c r="M1014" s="9" t="str">
        <f t="shared" si="3"/>
        <v>Wednesday</v>
      </c>
    </row>
    <row r="1015" spans="1:13" x14ac:dyDescent="0.25">
      <c r="A1015" s="6">
        <v>2014</v>
      </c>
      <c r="B1015" s="7">
        <v>45234.532944120372</v>
      </c>
      <c r="C1015" s="7">
        <v>45234.532944120372</v>
      </c>
      <c r="D1015" s="8">
        <v>45234.532944120372</v>
      </c>
      <c r="E1015" s="9" t="s">
        <v>126</v>
      </c>
      <c r="F1015" s="9" t="s">
        <v>8</v>
      </c>
      <c r="G1015" s="9" t="s">
        <v>15</v>
      </c>
      <c r="H1015" s="9" t="s">
        <v>20</v>
      </c>
      <c r="I1015" s="9">
        <v>1</v>
      </c>
      <c r="J1015" s="9">
        <v>986</v>
      </c>
      <c r="K1015" s="10">
        <v>986</v>
      </c>
      <c r="L1015" s="9">
        <f>HOUR([1]restaurant_sales_1200!$B1015)</f>
        <v>12</v>
      </c>
      <c r="M1015" s="9" t="str">
        <f t="shared" si="3"/>
        <v>Thursday</v>
      </c>
    </row>
    <row r="1016" spans="1:13" x14ac:dyDescent="0.25">
      <c r="A1016" s="6">
        <v>2015</v>
      </c>
      <c r="B1016" s="7">
        <v>45234.836530439818</v>
      </c>
      <c r="C1016" s="7">
        <v>45234.836530439818</v>
      </c>
      <c r="D1016" s="8">
        <v>45234.836530439818</v>
      </c>
      <c r="E1016" s="9" t="s">
        <v>168</v>
      </c>
      <c r="F1016" s="9" t="s">
        <v>8</v>
      </c>
      <c r="G1016" s="9" t="s">
        <v>30</v>
      </c>
      <c r="H1016" s="9" t="s">
        <v>10</v>
      </c>
      <c r="I1016" s="9">
        <v>3</v>
      </c>
      <c r="J1016" s="9">
        <v>217</v>
      </c>
      <c r="K1016" s="10">
        <v>651</v>
      </c>
      <c r="L1016" s="9">
        <f>HOUR([1]restaurant_sales_1200!$B1016)</f>
        <v>20</v>
      </c>
      <c r="M1016" s="9" t="str">
        <f t="shared" si="3"/>
        <v>Friday</v>
      </c>
    </row>
    <row r="1017" spans="1:13" x14ac:dyDescent="0.25">
      <c r="A1017" s="6">
        <v>2016</v>
      </c>
      <c r="B1017" s="7">
        <v>45235.140116759256</v>
      </c>
      <c r="C1017" s="7">
        <v>45235.140116759256</v>
      </c>
      <c r="D1017" s="8">
        <v>45235.140116759256</v>
      </c>
      <c r="E1017" s="9" t="s">
        <v>306</v>
      </c>
      <c r="F1017" s="9" t="s">
        <v>19</v>
      </c>
      <c r="G1017" s="9" t="s">
        <v>9</v>
      </c>
      <c r="H1017" s="9" t="s">
        <v>24</v>
      </c>
      <c r="I1017" s="9">
        <v>1</v>
      </c>
      <c r="J1017" s="9">
        <v>376</v>
      </c>
      <c r="K1017" s="10">
        <v>376</v>
      </c>
      <c r="L1017" s="9">
        <f>HOUR([1]restaurant_sales_1200!$B1017)</f>
        <v>3</v>
      </c>
      <c r="M1017" s="9" t="str">
        <f t="shared" si="3"/>
        <v>Saturday</v>
      </c>
    </row>
    <row r="1018" spans="1:13" x14ac:dyDescent="0.25">
      <c r="A1018" s="6">
        <v>2017</v>
      </c>
      <c r="B1018" s="7">
        <v>45235.443703090277</v>
      </c>
      <c r="C1018" s="7">
        <v>45235.443703090277</v>
      </c>
      <c r="D1018" s="8">
        <v>45235.443703090277</v>
      </c>
      <c r="E1018" s="9" t="s">
        <v>11</v>
      </c>
      <c r="F1018" s="9" t="s">
        <v>19</v>
      </c>
      <c r="G1018" s="9" t="s">
        <v>6</v>
      </c>
      <c r="H1018" s="9" t="s">
        <v>24</v>
      </c>
      <c r="I1018" s="9">
        <v>5</v>
      </c>
      <c r="J1018" s="9">
        <v>825</v>
      </c>
      <c r="K1018" s="10">
        <v>4125</v>
      </c>
      <c r="L1018" s="9">
        <f>HOUR([1]restaurant_sales_1200!$B1018)</f>
        <v>10</v>
      </c>
      <c r="M1018" s="9" t="str">
        <f t="shared" si="3"/>
        <v>Sunday</v>
      </c>
    </row>
    <row r="1019" spans="1:13" x14ac:dyDescent="0.25">
      <c r="A1019" s="6">
        <v>2018</v>
      </c>
      <c r="B1019" s="7">
        <v>45235.747289409723</v>
      </c>
      <c r="C1019" s="7">
        <v>45235.747289409723</v>
      </c>
      <c r="D1019" s="8">
        <v>45235.747289409723</v>
      </c>
      <c r="E1019" s="9" t="s">
        <v>129</v>
      </c>
      <c r="F1019" s="9" t="s">
        <v>19</v>
      </c>
      <c r="G1019" s="9" t="s">
        <v>9</v>
      </c>
      <c r="H1019" s="9" t="s">
        <v>16</v>
      </c>
      <c r="I1019" s="9">
        <v>5</v>
      </c>
      <c r="J1019" s="9">
        <v>319</v>
      </c>
      <c r="K1019" s="10">
        <v>1595</v>
      </c>
      <c r="L1019" s="9">
        <f>HOUR([1]restaurant_sales_1200!$B1019)</f>
        <v>17</v>
      </c>
      <c r="M1019" s="9" t="str">
        <f t="shared" si="3"/>
        <v>Monday</v>
      </c>
    </row>
    <row r="1020" spans="1:13" x14ac:dyDescent="0.25">
      <c r="A1020" s="6">
        <v>2019</v>
      </c>
      <c r="B1020" s="7">
        <v>45236.050875729168</v>
      </c>
      <c r="C1020" s="7">
        <v>45236.050875729168</v>
      </c>
      <c r="D1020" s="8">
        <v>45236.050875729168</v>
      </c>
      <c r="E1020" s="9" t="s">
        <v>169</v>
      </c>
      <c r="F1020" s="9" t="s">
        <v>19</v>
      </c>
      <c r="G1020" s="9" t="s">
        <v>9</v>
      </c>
      <c r="H1020" s="9" t="s">
        <v>47</v>
      </c>
      <c r="I1020" s="9">
        <v>2</v>
      </c>
      <c r="J1020" s="9">
        <v>125</v>
      </c>
      <c r="K1020" s="10">
        <v>250</v>
      </c>
      <c r="L1020" s="9">
        <f>HOUR([1]restaurant_sales_1200!$B1020)</f>
        <v>1</v>
      </c>
      <c r="M1020" s="9" t="str">
        <f t="shared" si="3"/>
        <v>Tuesday</v>
      </c>
    </row>
    <row r="1021" spans="1:13" x14ac:dyDescent="0.25">
      <c r="A1021" s="6">
        <v>2020</v>
      </c>
      <c r="B1021" s="7">
        <v>45236.354462048614</v>
      </c>
      <c r="C1021" s="7">
        <v>45236.354462048614</v>
      </c>
      <c r="D1021" s="8">
        <v>45236.354462048614</v>
      </c>
      <c r="E1021" s="9" t="s">
        <v>198</v>
      </c>
      <c r="F1021" s="9" t="s">
        <v>8</v>
      </c>
      <c r="G1021" s="9" t="s">
        <v>15</v>
      </c>
      <c r="H1021" s="9" t="s">
        <v>13</v>
      </c>
      <c r="I1021" s="9">
        <v>4</v>
      </c>
      <c r="J1021" s="9">
        <v>620</v>
      </c>
      <c r="K1021" s="10">
        <v>2480</v>
      </c>
      <c r="L1021" s="9">
        <f>HOUR([1]restaurant_sales_1200!$B1021)</f>
        <v>8</v>
      </c>
      <c r="M1021" s="9" t="str">
        <f t="shared" si="3"/>
        <v>Wednesday</v>
      </c>
    </row>
    <row r="1022" spans="1:13" x14ac:dyDescent="0.25">
      <c r="A1022" s="6">
        <v>2021</v>
      </c>
      <c r="B1022" s="7">
        <v>45236.658048368059</v>
      </c>
      <c r="C1022" s="7">
        <v>45236.658048368059</v>
      </c>
      <c r="D1022" s="8">
        <v>45236.658048368059</v>
      </c>
      <c r="E1022" s="9" t="s">
        <v>302</v>
      </c>
      <c r="F1022" s="9" t="s">
        <v>8</v>
      </c>
      <c r="G1022" s="9" t="s">
        <v>30</v>
      </c>
      <c r="H1022" s="9" t="s">
        <v>24</v>
      </c>
      <c r="I1022" s="9">
        <v>1</v>
      </c>
      <c r="J1022" s="9">
        <v>882</v>
      </c>
      <c r="K1022" s="10">
        <v>882</v>
      </c>
      <c r="L1022" s="9">
        <f>HOUR([1]restaurant_sales_1200!$B1022)</f>
        <v>15</v>
      </c>
      <c r="M1022" s="9" t="str">
        <f t="shared" ref="M1022:M1201" si="4">TEXT(A1022,"dddd")</f>
        <v>Thursday</v>
      </c>
    </row>
    <row r="1023" spans="1:13" x14ac:dyDescent="0.25">
      <c r="A1023" s="6">
        <v>2022</v>
      </c>
      <c r="B1023" s="7">
        <v>45236.961634699073</v>
      </c>
      <c r="C1023" s="7">
        <v>45236.961634699073</v>
      </c>
      <c r="D1023" s="8">
        <v>45236.961634699073</v>
      </c>
      <c r="E1023" s="9" t="s">
        <v>77</v>
      </c>
      <c r="F1023" s="9" t="s">
        <v>1</v>
      </c>
      <c r="G1023" s="9" t="s">
        <v>2</v>
      </c>
      <c r="H1023" s="9" t="s">
        <v>24</v>
      </c>
      <c r="I1023" s="9">
        <v>1</v>
      </c>
      <c r="J1023" s="9">
        <v>109</v>
      </c>
      <c r="K1023" s="10">
        <v>109</v>
      </c>
      <c r="L1023" s="9">
        <f>HOUR([1]restaurant_sales_1200!$B1023)</f>
        <v>23</v>
      </c>
      <c r="M1023" s="9" t="str">
        <f t="shared" si="4"/>
        <v>Friday</v>
      </c>
    </row>
    <row r="1024" spans="1:13" x14ac:dyDescent="0.25">
      <c r="A1024" s="6">
        <v>2023</v>
      </c>
      <c r="B1024" s="7">
        <v>45237.265221018519</v>
      </c>
      <c r="C1024" s="7">
        <v>45237.265221018519</v>
      </c>
      <c r="D1024" s="8">
        <v>45237.265221018519</v>
      </c>
      <c r="E1024" s="9" t="s">
        <v>245</v>
      </c>
      <c r="F1024" s="9" t="s">
        <v>8</v>
      </c>
      <c r="G1024" s="9" t="s">
        <v>30</v>
      </c>
      <c r="H1024" s="9" t="s">
        <v>16</v>
      </c>
      <c r="I1024" s="9">
        <v>3</v>
      </c>
      <c r="J1024" s="9">
        <v>477</v>
      </c>
      <c r="K1024" s="10">
        <v>1431</v>
      </c>
      <c r="L1024" s="9">
        <f>HOUR([1]restaurant_sales_1200!$B1024)</f>
        <v>6</v>
      </c>
      <c r="M1024" s="9" t="str">
        <f t="shared" si="4"/>
        <v>Saturday</v>
      </c>
    </row>
    <row r="1025" spans="1:13" x14ac:dyDescent="0.25">
      <c r="A1025" s="6">
        <v>2024</v>
      </c>
      <c r="B1025" s="7">
        <v>45237.568807337964</v>
      </c>
      <c r="C1025" s="7">
        <v>45237.568807337964</v>
      </c>
      <c r="D1025" s="8">
        <v>45237.568807337964</v>
      </c>
      <c r="E1025" s="9" t="s">
        <v>58</v>
      </c>
      <c r="F1025" s="9" t="s">
        <v>19</v>
      </c>
      <c r="G1025" s="9" t="s">
        <v>6</v>
      </c>
      <c r="H1025" s="9" t="s">
        <v>3</v>
      </c>
      <c r="I1025" s="9">
        <v>5</v>
      </c>
      <c r="J1025" s="9">
        <v>732</v>
      </c>
      <c r="K1025" s="10">
        <v>3660</v>
      </c>
      <c r="L1025" s="9">
        <f>HOUR([1]restaurant_sales_1200!$B1025)</f>
        <v>13</v>
      </c>
      <c r="M1025" s="9" t="str">
        <f t="shared" si="4"/>
        <v>Sunday</v>
      </c>
    </row>
    <row r="1026" spans="1:13" x14ac:dyDescent="0.25">
      <c r="A1026" s="6">
        <v>2025</v>
      </c>
      <c r="B1026" s="7">
        <v>45237.87239365741</v>
      </c>
      <c r="C1026" s="7">
        <v>45237.87239365741</v>
      </c>
      <c r="D1026" s="8">
        <v>45237.87239365741</v>
      </c>
      <c r="E1026" s="9" t="s">
        <v>111</v>
      </c>
      <c r="F1026" s="9" t="s">
        <v>5</v>
      </c>
      <c r="G1026" s="9" t="s">
        <v>30</v>
      </c>
      <c r="H1026" s="9" t="s">
        <v>3</v>
      </c>
      <c r="I1026" s="9">
        <v>1</v>
      </c>
      <c r="J1026" s="9">
        <v>736</v>
      </c>
      <c r="K1026" s="10">
        <v>736</v>
      </c>
      <c r="L1026" s="9">
        <f>HOUR([1]restaurant_sales_1200!$B1026)</f>
        <v>20</v>
      </c>
      <c r="M1026" s="9" t="str">
        <f t="shared" si="4"/>
        <v>Monday</v>
      </c>
    </row>
    <row r="1027" spans="1:13" x14ac:dyDescent="0.25">
      <c r="A1027" s="6">
        <v>2026</v>
      </c>
      <c r="B1027" s="7">
        <v>45238.175979988424</v>
      </c>
      <c r="C1027" s="7">
        <v>45238.175979988424</v>
      </c>
      <c r="D1027" s="8">
        <v>45238.175979988424</v>
      </c>
      <c r="E1027" s="9" t="s">
        <v>137</v>
      </c>
      <c r="F1027" s="9" t="s">
        <v>19</v>
      </c>
      <c r="G1027" s="9" t="s">
        <v>9</v>
      </c>
      <c r="H1027" s="9" t="s">
        <v>26</v>
      </c>
      <c r="I1027" s="9">
        <v>5</v>
      </c>
      <c r="J1027" s="9">
        <v>781</v>
      </c>
      <c r="K1027" s="10">
        <v>3905</v>
      </c>
      <c r="L1027" s="9">
        <f>HOUR([1]restaurant_sales_1200!$B1027)</f>
        <v>4</v>
      </c>
      <c r="M1027" s="9" t="str">
        <f t="shared" si="4"/>
        <v>Tuesday</v>
      </c>
    </row>
    <row r="1028" spans="1:13" x14ac:dyDescent="0.25">
      <c r="A1028" s="6">
        <v>2027</v>
      </c>
      <c r="B1028" s="7">
        <v>45238.479566307869</v>
      </c>
      <c r="C1028" s="7">
        <v>45238.479566307869</v>
      </c>
      <c r="D1028" s="8">
        <v>45238.479566307869</v>
      </c>
      <c r="E1028" s="9" t="s">
        <v>309</v>
      </c>
      <c r="F1028" s="9" t="s">
        <v>19</v>
      </c>
      <c r="G1028" s="9" t="s">
        <v>2</v>
      </c>
      <c r="H1028" s="9" t="s">
        <v>13</v>
      </c>
      <c r="I1028" s="9">
        <v>1</v>
      </c>
      <c r="J1028" s="9">
        <v>683</v>
      </c>
      <c r="K1028" s="10">
        <v>683</v>
      </c>
      <c r="L1028" s="9">
        <f>HOUR([1]restaurant_sales_1200!$B1028)</f>
        <v>11</v>
      </c>
      <c r="M1028" s="9" t="str">
        <f t="shared" si="4"/>
        <v>Wednesday</v>
      </c>
    </row>
    <row r="1029" spans="1:13" x14ac:dyDescent="0.25">
      <c r="A1029" s="6">
        <v>2028</v>
      </c>
      <c r="B1029" s="7">
        <v>45238.783152627315</v>
      </c>
      <c r="C1029" s="7">
        <v>45238.783152627315</v>
      </c>
      <c r="D1029" s="8">
        <v>45238.783152627315</v>
      </c>
      <c r="E1029" s="9" t="s">
        <v>100</v>
      </c>
      <c r="F1029" s="9" t="s">
        <v>8</v>
      </c>
      <c r="G1029" s="9" t="s">
        <v>30</v>
      </c>
      <c r="H1029" s="9" t="s">
        <v>10</v>
      </c>
      <c r="I1029" s="9">
        <v>2</v>
      </c>
      <c r="J1029" s="9">
        <v>251</v>
      </c>
      <c r="K1029" s="10">
        <v>502</v>
      </c>
      <c r="L1029" s="9">
        <f>HOUR([1]restaurant_sales_1200!$B1029)</f>
        <v>18</v>
      </c>
      <c r="M1029" s="9" t="str">
        <f t="shared" si="4"/>
        <v>Thursday</v>
      </c>
    </row>
    <row r="1030" spans="1:13" x14ac:dyDescent="0.25">
      <c r="A1030" s="6">
        <v>2029</v>
      </c>
      <c r="B1030" s="7">
        <v>45239.08673894676</v>
      </c>
      <c r="C1030" s="7">
        <v>45239.08673894676</v>
      </c>
      <c r="D1030" s="8">
        <v>45239.08673894676</v>
      </c>
      <c r="E1030" s="9" t="s">
        <v>94</v>
      </c>
      <c r="F1030" s="9" t="s">
        <v>1</v>
      </c>
      <c r="G1030" s="9" t="s">
        <v>2</v>
      </c>
      <c r="H1030" s="9" t="s">
        <v>47</v>
      </c>
      <c r="I1030" s="9">
        <v>4</v>
      </c>
      <c r="J1030" s="9">
        <v>819</v>
      </c>
      <c r="K1030" s="10">
        <v>3276</v>
      </c>
      <c r="L1030" s="9">
        <f>HOUR([1]restaurant_sales_1200!$B1030)</f>
        <v>2</v>
      </c>
      <c r="M1030" s="9" t="str">
        <f t="shared" si="4"/>
        <v>Friday</v>
      </c>
    </row>
    <row r="1031" spans="1:13" x14ac:dyDescent="0.25">
      <c r="A1031" s="6">
        <v>2030</v>
      </c>
      <c r="B1031" s="7">
        <v>45239.390325266206</v>
      </c>
      <c r="C1031" s="7">
        <v>45239.390325266206</v>
      </c>
      <c r="D1031" s="8">
        <v>45239.390325266206</v>
      </c>
      <c r="E1031" s="9" t="s">
        <v>272</v>
      </c>
      <c r="F1031" s="9" t="s">
        <v>5</v>
      </c>
      <c r="G1031" s="9" t="s">
        <v>30</v>
      </c>
      <c r="H1031" s="9" t="s">
        <v>31</v>
      </c>
      <c r="I1031" s="9">
        <v>1</v>
      </c>
      <c r="J1031" s="9">
        <v>148</v>
      </c>
      <c r="K1031" s="10">
        <v>148</v>
      </c>
      <c r="L1031" s="9">
        <f>HOUR([1]restaurant_sales_1200!$B1031)</f>
        <v>9</v>
      </c>
      <c r="M1031" s="9" t="str">
        <f t="shared" si="4"/>
        <v>Saturday</v>
      </c>
    </row>
    <row r="1032" spans="1:13" x14ac:dyDescent="0.25">
      <c r="A1032" s="6">
        <v>2031</v>
      </c>
      <c r="B1032" s="7">
        <v>45239.69391159722</v>
      </c>
      <c r="C1032" s="7">
        <v>45239.69391159722</v>
      </c>
      <c r="D1032" s="8">
        <v>45239.69391159722</v>
      </c>
      <c r="E1032" s="9" t="s">
        <v>79</v>
      </c>
      <c r="F1032" s="9" t="s">
        <v>5</v>
      </c>
      <c r="G1032" s="9" t="s">
        <v>2</v>
      </c>
      <c r="H1032" s="9" t="s">
        <v>20</v>
      </c>
      <c r="I1032" s="9">
        <v>5</v>
      </c>
      <c r="J1032" s="9">
        <v>253</v>
      </c>
      <c r="K1032" s="10">
        <v>1265</v>
      </c>
      <c r="L1032" s="9">
        <f>HOUR([1]restaurant_sales_1200!$B1032)</f>
        <v>16</v>
      </c>
      <c r="M1032" s="9" t="str">
        <f t="shared" si="4"/>
        <v>Sunday</v>
      </c>
    </row>
    <row r="1033" spans="1:13" x14ac:dyDescent="0.25">
      <c r="A1033" s="6">
        <v>2032</v>
      </c>
      <c r="B1033" s="7">
        <v>45239.997497916665</v>
      </c>
      <c r="C1033" s="7">
        <v>45239.997497916665</v>
      </c>
      <c r="D1033" s="8">
        <v>45239.997497916665</v>
      </c>
      <c r="E1033" s="9" t="s">
        <v>238</v>
      </c>
      <c r="F1033" s="9" t="s">
        <v>1</v>
      </c>
      <c r="G1033" s="9" t="s">
        <v>30</v>
      </c>
      <c r="H1033" s="9" t="s">
        <v>16</v>
      </c>
      <c r="I1033" s="9">
        <v>2</v>
      </c>
      <c r="J1033" s="9">
        <v>958</v>
      </c>
      <c r="K1033" s="10">
        <v>1916</v>
      </c>
      <c r="L1033" s="9">
        <f>HOUR([1]restaurant_sales_1200!$B1033)</f>
        <v>23</v>
      </c>
      <c r="M1033" s="9" t="str">
        <f t="shared" si="4"/>
        <v>Monday</v>
      </c>
    </row>
    <row r="1034" spans="1:13" x14ac:dyDescent="0.25">
      <c r="A1034" s="6">
        <v>2033</v>
      </c>
      <c r="B1034" s="7">
        <v>45240.301084236111</v>
      </c>
      <c r="C1034" s="7">
        <v>45240.301084236111</v>
      </c>
      <c r="D1034" s="8">
        <v>45240.301084236111</v>
      </c>
      <c r="E1034" s="9" t="s">
        <v>54</v>
      </c>
      <c r="F1034" s="9" t="s">
        <v>19</v>
      </c>
      <c r="G1034" s="9" t="s">
        <v>6</v>
      </c>
      <c r="H1034" s="9" t="s">
        <v>47</v>
      </c>
      <c r="I1034" s="9">
        <v>1</v>
      </c>
      <c r="J1034" s="9">
        <v>392</v>
      </c>
      <c r="K1034" s="10">
        <v>392</v>
      </c>
      <c r="L1034" s="9">
        <f>HOUR([1]restaurant_sales_1200!$B1034)</f>
        <v>7</v>
      </c>
      <c r="M1034" s="9" t="str">
        <f t="shared" si="4"/>
        <v>Tuesday</v>
      </c>
    </row>
    <row r="1035" spans="1:13" x14ac:dyDescent="0.25">
      <c r="A1035" s="6">
        <v>2034</v>
      </c>
      <c r="B1035" s="7">
        <v>45240.604670555556</v>
      </c>
      <c r="C1035" s="7">
        <v>45240.604670555556</v>
      </c>
      <c r="D1035" s="8">
        <v>45240.604670555556</v>
      </c>
      <c r="E1035" s="9" t="s">
        <v>238</v>
      </c>
      <c r="F1035" s="9" t="s">
        <v>8</v>
      </c>
      <c r="G1035" s="9" t="s">
        <v>2</v>
      </c>
      <c r="H1035" s="9" t="s">
        <v>31</v>
      </c>
      <c r="I1035" s="9">
        <v>3</v>
      </c>
      <c r="J1035" s="9">
        <v>679</v>
      </c>
      <c r="K1035" s="10">
        <v>2037</v>
      </c>
      <c r="L1035" s="9">
        <f>HOUR([1]restaurant_sales_1200!$B1035)</f>
        <v>14</v>
      </c>
      <c r="M1035" s="9" t="str">
        <f t="shared" si="4"/>
        <v>Wednesday</v>
      </c>
    </row>
    <row r="1036" spans="1:13" x14ac:dyDescent="0.25">
      <c r="A1036" s="6">
        <v>2035</v>
      </c>
      <c r="B1036" s="7">
        <v>45240.908256875002</v>
      </c>
      <c r="C1036" s="7">
        <v>45240.908256875002</v>
      </c>
      <c r="D1036" s="8">
        <v>45240.908256875002</v>
      </c>
      <c r="E1036" s="9" t="s">
        <v>204</v>
      </c>
      <c r="F1036" s="9" t="s">
        <v>19</v>
      </c>
      <c r="G1036" s="9" t="s">
        <v>15</v>
      </c>
      <c r="H1036" s="9" t="s">
        <v>20</v>
      </c>
      <c r="I1036" s="9">
        <v>4</v>
      </c>
      <c r="J1036" s="9">
        <v>149</v>
      </c>
      <c r="K1036" s="10">
        <v>596</v>
      </c>
      <c r="L1036" s="9">
        <f>HOUR([1]restaurant_sales_1200!$B1036)</f>
        <v>21</v>
      </c>
      <c r="M1036" s="9" t="str">
        <f t="shared" si="4"/>
        <v>Thursday</v>
      </c>
    </row>
    <row r="1037" spans="1:13" x14ac:dyDescent="0.25">
      <c r="A1037" s="6">
        <v>2036</v>
      </c>
      <c r="B1037" s="7">
        <v>45241.211843206016</v>
      </c>
      <c r="C1037" s="7">
        <v>45241.211843206016</v>
      </c>
      <c r="D1037" s="8">
        <v>45241.211843206016</v>
      </c>
      <c r="E1037" s="9" t="s">
        <v>250</v>
      </c>
      <c r="F1037" s="9" t="s">
        <v>5</v>
      </c>
      <c r="G1037" s="9" t="s">
        <v>9</v>
      </c>
      <c r="H1037" s="9" t="s">
        <v>24</v>
      </c>
      <c r="I1037" s="9">
        <v>1</v>
      </c>
      <c r="J1037" s="9">
        <v>763</v>
      </c>
      <c r="K1037" s="10">
        <v>763</v>
      </c>
      <c r="L1037" s="9">
        <f>HOUR([1]restaurant_sales_1200!$B1037)</f>
        <v>5</v>
      </c>
      <c r="M1037" s="9" t="str">
        <f t="shared" si="4"/>
        <v>Friday</v>
      </c>
    </row>
    <row r="1038" spans="1:13" x14ac:dyDescent="0.25">
      <c r="A1038" s="6">
        <v>2037</v>
      </c>
      <c r="B1038" s="7">
        <v>45241.515429525462</v>
      </c>
      <c r="C1038" s="7">
        <v>45241.515429525462</v>
      </c>
      <c r="D1038" s="8">
        <v>45241.515429525462</v>
      </c>
      <c r="E1038" s="9" t="s">
        <v>300</v>
      </c>
      <c r="F1038" s="9" t="s">
        <v>5</v>
      </c>
      <c r="G1038" s="9" t="s">
        <v>2</v>
      </c>
      <c r="H1038" s="9" t="s">
        <v>10</v>
      </c>
      <c r="I1038" s="9">
        <v>2</v>
      </c>
      <c r="J1038" s="9">
        <v>630</v>
      </c>
      <c r="K1038" s="10">
        <v>1260</v>
      </c>
      <c r="L1038" s="9">
        <f>HOUR([1]restaurant_sales_1200!$B1038)</f>
        <v>12</v>
      </c>
      <c r="M1038" s="9" t="str">
        <f t="shared" si="4"/>
        <v>Saturday</v>
      </c>
    </row>
    <row r="1039" spans="1:13" x14ac:dyDescent="0.25">
      <c r="A1039" s="6">
        <v>2038</v>
      </c>
      <c r="B1039" s="7">
        <v>45241.819015844907</v>
      </c>
      <c r="C1039" s="7">
        <v>45241.819015844907</v>
      </c>
      <c r="D1039" s="8">
        <v>45241.819015844907</v>
      </c>
      <c r="E1039" s="9" t="s">
        <v>18</v>
      </c>
      <c r="F1039" s="9" t="s">
        <v>19</v>
      </c>
      <c r="G1039" s="9" t="s">
        <v>9</v>
      </c>
      <c r="H1039" s="9" t="s">
        <v>13</v>
      </c>
      <c r="I1039" s="9">
        <v>3</v>
      </c>
      <c r="J1039" s="9">
        <v>711</v>
      </c>
      <c r="K1039" s="10">
        <v>2133</v>
      </c>
      <c r="L1039" s="9">
        <f>HOUR([1]restaurant_sales_1200!$B1039)</f>
        <v>19</v>
      </c>
      <c r="M1039" s="9" t="str">
        <f t="shared" si="4"/>
        <v>Sunday</v>
      </c>
    </row>
    <row r="1040" spans="1:13" x14ac:dyDescent="0.25">
      <c r="A1040" s="6">
        <v>2039</v>
      </c>
      <c r="B1040" s="7">
        <v>45242.122602164352</v>
      </c>
      <c r="C1040" s="7">
        <v>45242.122602164352</v>
      </c>
      <c r="D1040" s="8">
        <v>45242.122602164352</v>
      </c>
      <c r="E1040" s="9" t="s">
        <v>119</v>
      </c>
      <c r="F1040" s="9" t="s">
        <v>5</v>
      </c>
      <c r="G1040" s="9" t="s">
        <v>30</v>
      </c>
      <c r="H1040" s="9" t="s">
        <v>24</v>
      </c>
      <c r="I1040" s="9">
        <v>2</v>
      </c>
      <c r="J1040" s="9">
        <v>159</v>
      </c>
      <c r="K1040" s="10">
        <v>318</v>
      </c>
      <c r="L1040" s="9">
        <f>HOUR([1]restaurant_sales_1200!$B1040)</f>
        <v>2</v>
      </c>
      <c r="M1040" s="9" t="str">
        <f t="shared" si="4"/>
        <v>Monday</v>
      </c>
    </row>
    <row r="1041" spans="1:13" x14ac:dyDescent="0.25">
      <c r="A1041" s="6">
        <v>2040</v>
      </c>
      <c r="B1041" s="7">
        <v>45242.426188495374</v>
      </c>
      <c r="C1041" s="7">
        <v>45242.426188495374</v>
      </c>
      <c r="D1041" s="8">
        <v>45242.426188495374</v>
      </c>
      <c r="E1041" s="9" t="s">
        <v>203</v>
      </c>
      <c r="F1041" s="9" t="s">
        <v>8</v>
      </c>
      <c r="G1041" s="9" t="s">
        <v>30</v>
      </c>
      <c r="H1041" s="9" t="s">
        <v>26</v>
      </c>
      <c r="I1041" s="9">
        <v>2</v>
      </c>
      <c r="J1041" s="9">
        <v>266</v>
      </c>
      <c r="K1041" s="10">
        <v>532</v>
      </c>
      <c r="L1041" s="9">
        <f>HOUR([1]restaurant_sales_1200!$B1041)</f>
        <v>10</v>
      </c>
      <c r="M1041" s="9" t="str">
        <f t="shared" si="4"/>
        <v>Tuesday</v>
      </c>
    </row>
    <row r="1042" spans="1:13" x14ac:dyDescent="0.25">
      <c r="A1042" s="6">
        <v>2041</v>
      </c>
      <c r="B1042" s="7">
        <v>45242.729774814812</v>
      </c>
      <c r="C1042" s="7">
        <v>45242.729774814812</v>
      </c>
      <c r="D1042" s="8">
        <v>45242.729774814812</v>
      </c>
      <c r="E1042" s="9" t="s">
        <v>178</v>
      </c>
      <c r="F1042" s="9" t="s">
        <v>5</v>
      </c>
      <c r="G1042" s="9" t="s">
        <v>30</v>
      </c>
      <c r="H1042" s="9" t="s">
        <v>33</v>
      </c>
      <c r="I1042" s="9">
        <v>3</v>
      </c>
      <c r="J1042" s="9">
        <v>301</v>
      </c>
      <c r="K1042" s="10">
        <v>903</v>
      </c>
      <c r="L1042" s="9">
        <f>HOUR([1]restaurant_sales_1200!$B1042)</f>
        <v>17</v>
      </c>
      <c r="M1042" s="9" t="str">
        <f t="shared" si="4"/>
        <v>Wednesday</v>
      </c>
    </row>
    <row r="1043" spans="1:13" x14ac:dyDescent="0.25">
      <c r="A1043" s="6">
        <v>2042</v>
      </c>
      <c r="B1043" s="7">
        <v>45243.033361134258</v>
      </c>
      <c r="C1043" s="7">
        <v>45243.033361134258</v>
      </c>
      <c r="D1043" s="8">
        <v>45243.033361134258</v>
      </c>
      <c r="E1043" s="9" t="s">
        <v>51</v>
      </c>
      <c r="F1043" s="9" t="s">
        <v>8</v>
      </c>
      <c r="G1043" s="9" t="s">
        <v>30</v>
      </c>
      <c r="H1043" s="9" t="s">
        <v>47</v>
      </c>
      <c r="I1043" s="9">
        <v>2</v>
      </c>
      <c r="J1043" s="9">
        <v>956</v>
      </c>
      <c r="K1043" s="10">
        <v>1912</v>
      </c>
      <c r="L1043" s="9">
        <f>HOUR([1]restaurant_sales_1200!$B1043)</f>
        <v>0</v>
      </c>
      <c r="M1043" s="9" t="str">
        <f t="shared" si="4"/>
        <v>Thursday</v>
      </c>
    </row>
    <row r="1044" spans="1:13" x14ac:dyDescent="0.25">
      <c r="A1044" s="6">
        <v>2043</v>
      </c>
      <c r="B1044" s="7">
        <v>45243.336947453703</v>
      </c>
      <c r="C1044" s="7">
        <v>45243.336947453703</v>
      </c>
      <c r="D1044" s="8">
        <v>45243.336947453703</v>
      </c>
      <c r="E1044" s="9" t="s">
        <v>202</v>
      </c>
      <c r="F1044" s="9" t="s">
        <v>19</v>
      </c>
      <c r="G1044" s="9" t="s">
        <v>30</v>
      </c>
      <c r="H1044" s="9" t="s">
        <v>10</v>
      </c>
      <c r="I1044" s="9">
        <v>3</v>
      </c>
      <c r="J1044" s="9">
        <v>245</v>
      </c>
      <c r="K1044" s="10">
        <v>735</v>
      </c>
      <c r="L1044" s="9">
        <f>HOUR([1]restaurant_sales_1200!$B1044)</f>
        <v>8</v>
      </c>
      <c r="M1044" s="9" t="str">
        <f t="shared" si="4"/>
        <v>Friday</v>
      </c>
    </row>
    <row r="1045" spans="1:13" x14ac:dyDescent="0.25">
      <c r="A1045" s="6">
        <v>2044</v>
      </c>
      <c r="B1045" s="7">
        <v>45243.640533773148</v>
      </c>
      <c r="C1045" s="7">
        <v>45243.640533773148</v>
      </c>
      <c r="D1045" s="8">
        <v>45243.640533773148</v>
      </c>
      <c r="E1045" s="9" t="s">
        <v>260</v>
      </c>
      <c r="F1045" s="9" t="s">
        <v>19</v>
      </c>
      <c r="G1045" s="9" t="s">
        <v>6</v>
      </c>
      <c r="H1045" s="9" t="s">
        <v>33</v>
      </c>
      <c r="I1045" s="9">
        <v>1</v>
      </c>
      <c r="J1045" s="9">
        <v>775</v>
      </c>
      <c r="K1045" s="10">
        <v>775</v>
      </c>
      <c r="L1045" s="9">
        <f>HOUR([1]restaurant_sales_1200!$B1045)</f>
        <v>15</v>
      </c>
      <c r="M1045" s="9" t="str">
        <f t="shared" si="4"/>
        <v>Saturday</v>
      </c>
    </row>
    <row r="1046" spans="1:13" x14ac:dyDescent="0.25">
      <c r="A1046" s="6">
        <v>2045</v>
      </c>
      <c r="B1046" s="7">
        <v>45243.94412010417</v>
      </c>
      <c r="C1046" s="7">
        <v>45243.94412010417</v>
      </c>
      <c r="D1046" s="8">
        <v>45243.94412010417</v>
      </c>
      <c r="E1046" s="9" t="s">
        <v>114</v>
      </c>
      <c r="F1046" s="9" t="s">
        <v>8</v>
      </c>
      <c r="G1046" s="9" t="s">
        <v>9</v>
      </c>
      <c r="H1046" s="9" t="s">
        <v>31</v>
      </c>
      <c r="I1046" s="9">
        <v>3</v>
      </c>
      <c r="J1046" s="9">
        <v>538</v>
      </c>
      <c r="K1046" s="10">
        <v>1614</v>
      </c>
      <c r="L1046" s="9">
        <f>HOUR([1]restaurant_sales_1200!$B1046)</f>
        <v>22</v>
      </c>
      <c r="M1046" s="9" t="str">
        <f t="shared" si="4"/>
        <v>Sunday</v>
      </c>
    </row>
    <row r="1047" spans="1:13" x14ac:dyDescent="0.25">
      <c r="A1047" s="6">
        <v>2046</v>
      </c>
      <c r="B1047" s="7">
        <v>45244.247706423608</v>
      </c>
      <c r="C1047" s="7">
        <v>45244.247706423608</v>
      </c>
      <c r="D1047" s="8">
        <v>45244.247706423608</v>
      </c>
      <c r="E1047" s="9" t="s">
        <v>253</v>
      </c>
      <c r="F1047" s="9" t="s">
        <v>8</v>
      </c>
      <c r="G1047" s="9" t="s">
        <v>2</v>
      </c>
      <c r="H1047" s="9" t="s">
        <v>47</v>
      </c>
      <c r="I1047" s="9">
        <v>3</v>
      </c>
      <c r="J1047" s="9">
        <v>341</v>
      </c>
      <c r="K1047" s="10">
        <v>1023</v>
      </c>
      <c r="L1047" s="9">
        <f>HOUR([1]restaurant_sales_1200!$B1047)</f>
        <v>5</v>
      </c>
      <c r="M1047" s="9" t="str">
        <f t="shared" si="4"/>
        <v>Monday</v>
      </c>
    </row>
    <row r="1048" spans="1:13" x14ac:dyDescent="0.25">
      <c r="A1048" s="6">
        <v>2047</v>
      </c>
      <c r="B1048" s="7">
        <v>45244.551292743054</v>
      </c>
      <c r="C1048" s="7">
        <v>45244.551292743054</v>
      </c>
      <c r="D1048" s="8">
        <v>45244.551292743054</v>
      </c>
      <c r="E1048" s="9" t="s">
        <v>209</v>
      </c>
      <c r="F1048" s="9" t="s">
        <v>8</v>
      </c>
      <c r="G1048" s="9" t="s">
        <v>6</v>
      </c>
      <c r="H1048" s="9" t="s">
        <v>16</v>
      </c>
      <c r="I1048" s="9">
        <v>4</v>
      </c>
      <c r="J1048" s="9">
        <v>680</v>
      </c>
      <c r="K1048" s="10">
        <v>2720</v>
      </c>
      <c r="L1048" s="9">
        <f>HOUR([1]restaurant_sales_1200!$B1048)</f>
        <v>13</v>
      </c>
      <c r="M1048" s="9" t="str">
        <f t="shared" si="4"/>
        <v>Tuesday</v>
      </c>
    </row>
    <row r="1049" spans="1:13" x14ac:dyDescent="0.25">
      <c r="A1049" s="6">
        <v>2048</v>
      </c>
      <c r="B1049" s="7">
        <v>45244.854879062499</v>
      </c>
      <c r="C1049" s="7">
        <v>45244.854879062499</v>
      </c>
      <c r="D1049" s="8">
        <v>45244.854879062499</v>
      </c>
      <c r="E1049" s="9" t="s">
        <v>36</v>
      </c>
      <c r="F1049" s="9" t="s">
        <v>5</v>
      </c>
      <c r="G1049" s="9" t="s">
        <v>6</v>
      </c>
      <c r="H1049" s="9" t="s">
        <v>26</v>
      </c>
      <c r="I1049" s="9">
        <v>3</v>
      </c>
      <c r="J1049" s="9">
        <v>786</v>
      </c>
      <c r="K1049" s="10">
        <v>2358</v>
      </c>
      <c r="L1049" s="9">
        <f>HOUR([1]restaurant_sales_1200!$B1049)</f>
        <v>20</v>
      </c>
      <c r="M1049" s="9" t="str">
        <f t="shared" si="4"/>
        <v>Wednesday</v>
      </c>
    </row>
    <row r="1050" spans="1:13" x14ac:dyDescent="0.25">
      <c r="A1050" s="6">
        <v>2049</v>
      </c>
      <c r="B1050" s="7">
        <v>45245.158465393521</v>
      </c>
      <c r="C1050" s="7">
        <v>45245.158465393521</v>
      </c>
      <c r="D1050" s="8">
        <v>45245.158465393521</v>
      </c>
      <c r="E1050" s="9" t="s">
        <v>257</v>
      </c>
      <c r="F1050" s="9" t="s">
        <v>19</v>
      </c>
      <c r="G1050" s="9" t="s">
        <v>6</v>
      </c>
      <c r="H1050" s="9" t="s">
        <v>10</v>
      </c>
      <c r="I1050" s="9">
        <v>3</v>
      </c>
      <c r="J1050" s="9">
        <v>660</v>
      </c>
      <c r="K1050" s="10">
        <v>1980</v>
      </c>
      <c r="L1050" s="9">
        <f>HOUR([1]restaurant_sales_1200!$B1050)</f>
        <v>3</v>
      </c>
      <c r="M1050" s="9" t="str">
        <f t="shared" si="4"/>
        <v>Thursday</v>
      </c>
    </row>
    <row r="1051" spans="1:13" x14ac:dyDescent="0.25">
      <c r="A1051" s="6">
        <v>2050</v>
      </c>
      <c r="B1051" s="7">
        <v>45245.462051712966</v>
      </c>
      <c r="C1051" s="7">
        <v>45245.462051712966</v>
      </c>
      <c r="D1051" s="8">
        <v>45245.462051712966</v>
      </c>
      <c r="E1051" s="9" t="s">
        <v>286</v>
      </c>
      <c r="F1051" s="9" t="s">
        <v>5</v>
      </c>
      <c r="G1051" s="9" t="s">
        <v>6</v>
      </c>
      <c r="H1051" s="9" t="s">
        <v>31</v>
      </c>
      <c r="I1051" s="9">
        <v>1</v>
      </c>
      <c r="J1051" s="9">
        <v>582</v>
      </c>
      <c r="K1051" s="10">
        <v>582</v>
      </c>
      <c r="L1051" s="9">
        <f>HOUR([1]restaurant_sales_1200!$B1051)</f>
        <v>11</v>
      </c>
      <c r="M1051" s="9" t="str">
        <f t="shared" si="4"/>
        <v>Friday</v>
      </c>
    </row>
    <row r="1052" spans="1:13" x14ac:dyDescent="0.25">
      <c r="A1052" s="6">
        <v>2051</v>
      </c>
      <c r="B1052" s="7">
        <v>45245.765638032404</v>
      </c>
      <c r="C1052" s="7">
        <v>45245.765638032404</v>
      </c>
      <c r="D1052" s="8">
        <v>45245.765638032404</v>
      </c>
      <c r="E1052" s="9" t="s">
        <v>124</v>
      </c>
      <c r="F1052" s="9" t="s">
        <v>5</v>
      </c>
      <c r="G1052" s="9" t="s">
        <v>6</v>
      </c>
      <c r="H1052" s="9" t="s">
        <v>31</v>
      </c>
      <c r="I1052" s="9">
        <v>4</v>
      </c>
      <c r="J1052" s="9">
        <v>207</v>
      </c>
      <c r="K1052" s="10">
        <v>828</v>
      </c>
      <c r="L1052" s="9">
        <f>HOUR([1]restaurant_sales_1200!$B1052)</f>
        <v>18</v>
      </c>
      <c r="M1052" s="9" t="str">
        <f t="shared" si="4"/>
        <v>Saturday</v>
      </c>
    </row>
    <row r="1053" spans="1:13" x14ac:dyDescent="0.25">
      <c r="A1053" s="6">
        <v>2052</v>
      </c>
      <c r="B1053" s="7">
        <v>45246.06922435185</v>
      </c>
      <c r="C1053" s="7">
        <v>45246.06922435185</v>
      </c>
      <c r="D1053" s="8">
        <v>45246.06922435185</v>
      </c>
      <c r="E1053" s="9" t="s">
        <v>159</v>
      </c>
      <c r="F1053" s="9" t="s">
        <v>8</v>
      </c>
      <c r="G1053" s="9" t="s">
        <v>9</v>
      </c>
      <c r="H1053" s="9" t="s">
        <v>3</v>
      </c>
      <c r="I1053" s="9">
        <v>5</v>
      </c>
      <c r="J1053" s="9">
        <v>325</v>
      </c>
      <c r="K1053" s="10">
        <v>1625</v>
      </c>
      <c r="L1053" s="9">
        <f>HOUR([1]restaurant_sales_1200!$B1053)</f>
        <v>1</v>
      </c>
      <c r="M1053" s="9" t="str">
        <f t="shared" si="4"/>
        <v>Sunday</v>
      </c>
    </row>
    <row r="1054" spans="1:13" x14ac:dyDescent="0.25">
      <c r="A1054" s="6">
        <v>2053</v>
      </c>
      <c r="B1054" s="7">
        <v>45246.372810671295</v>
      </c>
      <c r="C1054" s="7">
        <v>45246.372810671295</v>
      </c>
      <c r="D1054" s="8">
        <v>45246.372810671295</v>
      </c>
      <c r="E1054" s="9" t="s">
        <v>111</v>
      </c>
      <c r="F1054" s="9" t="s">
        <v>5</v>
      </c>
      <c r="G1054" s="9" t="s">
        <v>2</v>
      </c>
      <c r="H1054" s="9" t="s">
        <v>20</v>
      </c>
      <c r="I1054" s="9">
        <v>1</v>
      </c>
      <c r="J1054" s="9">
        <v>772</v>
      </c>
      <c r="K1054" s="10">
        <v>772</v>
      </c>
      <c r="L1054" s="9">
        <f>HOUR([1]restaurant_sales_1200!$B1054)</f>
        <v>8</v>
      </c>
      <c r="M1054" s="9" t="str">
        <f t="shared" si="4"/>
        <v>Monday</v>
      </c>
    </row>
    <row r="1055" spans="1:13" x14ac:dyDescent="0.25">
      <c r="A1055" s="6">
        <v>2054</v>
      </c>
      <c r="B1055" s="7">
        <v>45246.676397002317</v>
      </c>
      <c r="C1055" s="7">
        <v>45246.676397002317</v>
      </c>
      <c r="D1055" s="8">
        <v>45246.676397002317</v>
      </c>
      <c r="E1055" s="9" t="s">
        <v>162</v>
      </c>
      <c r="F1055" s="9" t="s">
        <v>1</v>
      </c>
      <c r="G1055" s="9" t="s">
        <v>9</v>
      </c>
      <c r="H1055" s="9" t="s">
        <v>13</v>
      </c>
      <c r="I1055" s="9">
        <v>1</v>
      </c>
      <c r="J1055" s="9">
        <v>730</v>
      </c>
      <c r="K1055" s="10">
        <v>730</v>
      </c>
      <c r="L1055" s="9">
        <f>HOUR([1]restaurant_sales_1200!$B1055)</f>
        <v>16</v>
      </c>
      <c r="M1055" s="9" t="str">
        <f t="shared" si="4"/>
        <v>Tuesday</v>
      </c>
    </row>
    <row r="1056" spans="1:13" x14ac:dyDescent="0.25">
      <c r="A1056" s="6">
        <v>2055</v>
      </c>
      <c r="B1056" s="7">
        <v>45246.979983321762</v>
      </c>
      <c r="C1056" s="7">
        <v>45246.979983321762</v>
      </c>
      <c r="D1056" s="8">
        <v>45246.979983321762</v>
      </c>
      <c r="E1056" s="9" t="s">
        <v>50</v>
      </c>
      <c r="F1056" s="9" t="s">
        <v>1</v>
      </c>
      <c r="G1056" s="9" t="s">
        <v>2</v>
      </c>
      <c r="H1056" s="9" t="s">
        <v>31</v>
      </c>
      <c r="I1056" s="9">
        <v>5</v>
      </c>
      <c r="J1056" s="9">
        <v>760</v>
      </c>
      <c r="K1056" s="10">
        <v>3800</v>
      </c>
      <c r="L1056" s="9">
        <f>HOUR([1]restaurant_sales_1200!$B1056)</f>
        <v>23</v>
      </c>
      <c r="M1056" s="9" t="str">
        <f t="shared" si="4"/>
        <v>Wednesday</v>
      </c>
    </row>
    <row r="1057" spans="1:13" x14ac:dyDescent="0.25">
      <c r="A1057" s="6">
        <v>2056</v>
      </c>
      <c r="B1057" s="7">
        <v>45247.2835696412</v>
      </c>
      <c r="C1057" s="7">
        <v>45247.2835696412</v>
      </c>
      <c r="D1057" s="8">
        <v>45247.2835696412</v>
      </c>
      <c r="E1057" s="9" t="s">
        <v>255</v>
      </c>
      <c r="F1057" s="9" t="s">
        <v>1</v>
      </c>
      <c r="G1057" s="9" t="s">
        <v>6</v>
      </c>
      <c r="H1057" s="9" t="s">
        <v>26</v>
      </c>
      <c r="I1057" s="9">
        <v>3</v>
      </c>
      <c r="J1057" s="9">
        <v>761</v>
      </c>
      <c r="K1057" s="10">
        <v>2283</v>
      </c>
      <c r="L1057" s="9">
        <f>HOUR([1]restaurant_sales_1200!$B1057)</f>
        <v>6</v>
      </c>
      <c r="M1057" s="9" t="str">
        <f t="shared" si="4"/>
        <v>Thursday</v>
      </c>
    </row>
    <row r="1058" spans="1:13" x14ac:dyDescent="0.25">
      <c r="A1058" s="6">
        <v>2057</v>
      </c>
      <c r="B1058" s="7">
        <v>45247.587155960646</v>
      </c>
      <c r="C1058" s="7">
        <v>45247.587155960646</v>
      </c>
      <c r="D1058" s="8">
        <v>45247.587155960646</v>
      </c>
      <c r="E1058" s="9" t="s">
        <v>187</v>
      </c>
      <c r="F1058" s="9" t="s">
        <v>1</v>
      </c>
      <c r="G1058" s="9" t="s">
        <v>6</v>
      </c>
      <c r="H1058" s="9" t="s">
        <v>33</v>
      </c>
      <c r="I1058" s="9">
        <v>2</v>
      </c>
      <c r="J1058" s="9">
        <v>531</v>
      </c>
      <c r="K1058" s="10">
        <v>1062</v>
      </c>
      <c r="L1058" s="9">
        <f>HOUR([1]restaurant_sales_1200!$B1058)</f>
        <v>14</v>
      </c>
      <c r="M1058" s="9" t="str">
        <f t="shared" si="4"/>
        <v>Friday</v>
      </c>
    </row>
    <row r="1059" spans="1:13" x14ac:dyDescent="0.25">
      <c r="A1059" s="6">
        <v>2058</v>
      </c>
      <c r="B1059" s="7">
        <v>45247.890742280091</v>
      </c>
      <c r="C1059" s="7">
        <v>45247.890742280091</v>
      </c>
      <c r="D1059" s="8">
        <v>45247.890742280091</v>
      </c>
      <c r="E1059" s="9" t="s">
        <v>187</v>
      </c>
      <c r="F1059" s="9" t="s">
        <v>1</v>
      </c>
      <c r="G1059" s="9" t="s">
        <v>30</v>
      </c>
      <c r="H1059" s="9" t="s">
        <v>10</v>
      </c>
      <c r="I1059" s="9">
        <v>4</v>
      </c>
      <c r="J1059" s="9">
        <v>904</v>
      </c>
      <c r="K1059" s="10">
        <v>3616</v>
      </c>
      <c r="L1059" s="9">
        <f>HOUR([1]restaurant_sales_1200!$B1059)</f>
        <v>21</v>
      </c>
      <c r="M1059" s="9" t="str">
        <f t="shared" si="4"/>
        <v>Saturday</v>
      </c>
    </row>
    <row r="1060" spans="1:13" x14ac:dyDescent="0.25">
      <c r="A1060" s="6">
        <v>2059</v>
      </c>
      <c r="B1060" s="7">
        <v>45248.194328611113</v>
      </c>
      <c r="C1060" s="7">
        <v>45248.194328611113</v>
      </c>
      <c r="D1060" s="8">
        <v>45248.194328611113</v>
      </c>
      <c r="E1060" s="9" t="s">
        <v>310</v>
      </c>
      <c r="F1060" s="9" t="s">
        <v>8</v>
      </c>
      <c r="G1060" s="9" t="s">
        <v>15</v>
      </c>
      <c r="H1060" s="9" t="s">
        <v>10</v>
      </c>
      <c r="I1060" s="9">
        <v>2</v>
      </c>
      <c r="J1060" s="9">
        <v>754</v>
      </c>
      <c r="K1060" s="10">
        <v>1508</v>
      </c>
      <c r="L1060" s="9">
        <f>HOUR([1]restaurant_sales_1200!$B1060)</f>
        <v>4</v>
      </c>
      <c r="M1060" s="9" t="str">
        <f t="shared" si="4"/>
        <v>Sunday</v>
      </c>
    </row>
    <row r="1061" spans="1:13" x14ac:dyDescent="0.25">
      <c r="A1061" s="6">
        <v>2060</v>
      </c>
      <c r="B1061" s="7">
        <v>45248.497914930558</v>
      </c>
      <c r="C1061" s="7">
        <v>45248.497914930558</v>
      </c>
      <c r="D1061" s="8">
        <v>45248.497914930558</v>
      </c>
      <c r="E1061" s="9" t="s">
        <v>92</v>
      </c>
      <c r="F1061" s="9" t="s">
        <v>5</v>
      </c>
      <c r="G1061" s="9" t="s">
        <v>15</v>
      </c>
      <c r="H1061" s="9" t="s">
        <v>26</v>
      </c>
      <c r="I1061" s="9">
        <v>5</v>
      </c>
      <c r="J1061" s="9">
        <v>518</v>
      </c>
      <c r="K1061" s="10">
        <v>2590</v>
      </c>
      <c r="L1061" s="9">
        <f>HOUR([1]restaurant_sales_1200!$B1061)</f>
        <v>11</v>
      </c>
      <c r="M1061" s="9" t="str">
        <f t="shared" si="4"/>
        <v>Monday</v>
      </c>
    </row>
    <row r="1062" spans="1:13" x14ac:dyDescent="0.25">
      <c r="A1062" s="6">
        <v>2061</v>
      </c>
      <c r="B1062" s="7">
        <v>45248.801501249996</v>
      </c>
      <c r="C1062" s="7">
        <v>45248.801501249996</v>
      </c>
      <c r="D1062" s="8">
        <v>45248.801501249996</v>
      </c>
      <c r="E1062" s="9" t="s">
        <v>7</v>
      </c>
      <c r="F1062" s="9" t="s">
        <v>5</v>
      </c>
      <c r="G1062" s="9" t="s">
        <v>9</v>
      </c>
      <c r="H1062" s="9" t="s">
        <v>24</v>
      </c>
      <c r="I1062" s="9">
        <v>1</v>
      </c>
      <c r="J1062" s="9">
        <v>554</v>
      </c>
      <c r="K1062" s="10">
        <v>554</v>
      </c>
      <c r="L1062" s="9">
        <f>HOUR([1]restaurant_sales_1200!$B1062)</f>
        <v>19</v>
      </c>
      <c r="M1062" s="9" t="str">
        <f t="shared" si="4"/>
        <v>Tuesday</v>
      </c>
    </row>
    <row r="1063" spans="1:13" x14ac:dyDescent="0.25">
      <c r="A1063" s="6">
        <v>2062</v>
      </c>
      <c r="B1063" s="7">
        <v>45249.105087569442</v>
      </c>
      <c r="C1063" s="7">
        <v>45249.105087569442</v>
      </c>
      <c r="D1063" s="8">
        <v>45249.105087569442</v>
      </c>
      <c r="E1063" s="9" t="s">
        <v>204</v>
      </c>
      <c r="F1063" s="9" t="s">
        <v>1</v>
      </c>
      <c r="G1063" s="9" t="s">
        <v>9</v>
      </c>
      <c r="H1063" s="9" t="s">
        <v>3</v>
      </c>
      <c r="I1063" s="9">
        <v>1</v>
      </c>
      <c r="J1063" s="9">
        <v>259</v>
      </c>
      <c r="K1063" s="10">
        <v>259</v>
      </c>
      <c r="L1063" s="9">
        <f>HOUR([1]restaurant_sales_1200!$B1063)</f>
        <v>2</v>
      </c>
      <c r="M1063" s="9" t="str">
        <f t="shared" si="4"/>
        <v>Wednesday</v>
      </c>
    </row>
    <row r="1064" spans="1:13" x14ac:dyDescent="0.25">
      <c r="A1064" s="6">
        <v>2063</v>
      </c>
      <c r="B1064" s="7">
        <v>45249.408673900463</v>
      </c>
      <c r="C1064" s="7">
        <v>45249.408673900463</v>
      </c>
      <c r="D1064" s="8">
        <v>45249.408673900463</v>
      </c>
      <c r="E1064" s="9" t="s">
        <v>198</v>
      </c>
      <c r="F1064" s="9" t="s">
        <v>5</v>
      </c>
      <c r="G1064" s="9" t="s">
        <v>2</v>
      </c>
      <c r="H1064" s="9" t="s">
        <v>26</v>
      </c>
      <c r="I1064" s="9">
        <v>4</v>
      </c>
      <c r="J1064" s="9">
        <v>622</v>
      </c>
      <c r="K1064" s="10">
        <v>2488</v>
      </c>
      <c r="L1064" s="9">
        <f>HOUR([1]restaurant_sales_1200!$B1064)</f>
        <v>9</v>
      </c>
      <c r="M1064" s="9" t="str">
        <f t="shared" si="4"/>
        <v>Thursday</v>
      </c>
    </row>
    <row r="1065" spans="1:13" x14ac:dyDescent="0.25">
      <c r="A1065" s="6">
        <v>2064</v>
      </c>
      <c r="B1065" s="7">
        <v>45249.712260219909</v>
      </c>
      <c r="C1065" s="7">
        <v>45249.712260219909</v>
      </c>
      <c r="D1065" s="8">
        <v>45249.712260219909</v>
      </c>
      <c r="E1065" s="9" t="s">
        <v>179</v>
      </c>
      <c r="F1065" s="9" t="s">
        <v>1</v>
      </c>
      <c r="G1065" s="9" t="s">
        <v>30</v>
      </c>
      <c r="H1065" s="9" t="s">
        <v>33</v>
      </c>
      <c r="I1065" s="9">
        <v>1</v>
      </c>
      <c r="J1065" s="9">
        <v>749</v>
      </c>
      <c r="K1065" s="10">
        <v>749</v>
      </c>
      <c r="L1065" s="9">
        <f>HOUR([1]restaurant_sales_1200!$B1065)</f>
        <v>17</v>
      </c>
      <c r="M1065" s="9" t="str">
        <f t="shared" si="4"/>
        <v>Friday</v>
      </c>
    </row>
    <row r="1066" spans="1:13" x14ac:dyDescent="0.25">
      <c r="A1066" s="6">
        <v>2065</v>
      </c>
      <c r="B1066" s="7">
        <v>45250.015846539354</v>
      </c>
      <c r="C1066" s="7">
        <v>45250.015846539354</v>
      </c>
      <c r="D1066" s="8">
        <v>45250.015846539354</v>
      </c>
      <c r="E1066" s="9" t="s">
        <v>309</v>
      </c>
      <c r="F1066" s="9" t="s">
        <v>5</v>
      </c>
      <c r="G1066" s="9" t="s">
        <v>2</v>
      </c>
      <c r="H1066" s="9" t="s">
        <v>47</v>
      </c>
      <c r="I1066" s="9">
        <v>1</v>
      </c>
      <c r="J1066" s="9">
        <v>689</v>
      </c>
      <c r="K1066" s="10">
        <v>689</v>
      </c>
      <c r="L1066" s="9">
        <f>HOUR([1]restaurant_sales_1200!$B1066)</f>
        <v>0</v>
      </c>
      <c r="M1066" s="9" t="str">
        <f t="shared" si="4"/>
        <v>Saturday</v>
      </c>
    </row>
    <row r="1067" spans="1:13" x14ac:dyDescent="0.25">
      <c r="A1067" s="6">
        <v>2066</v>
      </c>
      <c r="B1067" s="7">
        <v>45250.3194328588</v>
      </c>
      <c r="C1067" s="7">
        <v>45250.3194328588</v>
      </c>
      <c r="D1067" s="8">
        <v>45250.3194328588</v>
      </c>
      <c r="E1067" s="9" t="s">
        <v>184</v>
      </c>
      <c r="F1067" s="9" t="s">
        <v>8</v>
      </c>
      <c r="G1067" s="9" t="s">
        <v>30</v>
      </c>
      <c r="H1067" s="9" t="s">
        <v>16</v>
      </c>
      <c r="I1067" s="9">
        <v>4</v>
      </c>
      <c r="J1067" s="9">
        <v>176</v>
      </c>
      <c r="K1067" s="10">
        <v>704</v>
      </c>
      <c r="L1067" s="9">
        <f>HOUR([1]restaurant_sales_1200!$B1067)</f>
        <v>7</v>
      </c>
      <c r="M1067" s="9" t="str">
        <f t="shared" si="4"/>
        <v>Sunday</v>
      </c>
    </row>
    <row r="1068" spans="1:13" x14ac:dyDescent="0.25">
      <c r="A1068" s="6">
        <v>2067</v>
      </c>
      <c r="B1068" s="7">
        <v>45250.623019178238</v>
      </c>
      <c r="C1068" s="7">
        <v>45250.623019178238</v>
      </c>
      <c r="D1068" s="8">
        <v>45250.623019178238</v>
      </c>
      <c r="E1068" s="9" t="s">
        <v>84</v>
      </c>
      <c r="F1068" s="9" t="s">
        <v>19</v>
      </c>
      <c r="G1068" s="9" t="s">
        <v>15</v>
      </c>
      <c r="H1068" s="9" t="s">
        <v>16</v>
      </c>
      <c r="I1068" s="9">
        <v>4</v>
      </c>
      <c r="J1068" s="9">
        <v>608</v>
      </c>
      <c r="K1068" s="10">
        <v>2432</v>
      </c>
      <c r="L1068" s="9">
        <f>HOUR([1]restaurant_sales_1200!$B1068)</f>
        <v>14</v>
      </c>
      <c r="M1068" s="9" t="str">
        <f t="shared" si="4"/>
        <v>Monday</v>
      </c>
    </row>
    <row r="1069" spans="1:13" x14ac:dyDescent="0.25">
      <c r="A1069" s="6">
        <v>2068</v>
      </c>
      <c r="B1069" s="7">
        <v>45250.926605509259</v>
      </c>
      <c r="C1069" s="7">
        <v>45250.926605509259</v>
      </c>
      <c r="D1069" s="8">
        <v>45250.926605509259</v>
      </c>
      <c r="E1069" s="9" t="s">
        <v>274</v>
      </c>
      <c r="F1069" s="9" t="s">
        <v>1</v>
      </c>
      <c r="G1069" s="9" t="s">
        <v>15</v>
      </c>
      <c r="H1069" s="9" t="s">
        <v>33</v>
      </c>
      <c r="I1069" s="9">
        <v>5</v>
      </c>
      <c r="J1069" s="9">
        <v>540</v>
      </c>
      <c r="K1069" s="10">
        <v>2700</v>
      </c>
      <c r="L1069" s="9">
        <f>HOUR([1]restaurant_sales_1200!$B1069)</f>
        <v>22</v>
      </c>
      <c r="M1069" s="9" t="str">
        <f t="shared" si="4"/>
        <v>Tuesday</v>
      </c>
    </row>
    <row r="1070" spans="1:13" x14ac:dyDescent="0.25">
      <c r="A1070" s="6">
        <v>2069</v>
      </c>
      <c r="B1070" s="7">
        <v>45251.230191828705</v>
      </c>
      <c r="C1070" s="7">
        <v>45251.230191828705</v>
      </c>
      <c r="D1070" s="8">
        <v>45251.230191828705</v>
      </c>
      <c r="E1070" s="9" t="s">
        <v>38</v>
      </c>
      <c r="F1070" s="9" t="s">
        <v>8</v>
      </c>
      <c r="G1070" s="9" t="s">
        <v>30</v>
      </c>
      <c r="H1070" s="9" t="s">
        <v>20</v>
      </c>
      <c r="I1070" s="9">
        <v>1</v>
      </c>
      <c r="J1070" s="9">
        <v>353</v>
      </c>
      <c r="K1070" s="10">
        <v>353</v>
      </c>
      <c r="L1070" s="9">
        <f>HOUR([1]restaurant_sales_1200!$B1070)</f>
        <v>5</v>
      </c>
      <c r="M1070" s="9" t="str">
        <f t="shared" si="4"/>
        <v>Wednesday</v>
      </c>
    </row>
    <row r="1071" spans="1:13" x14ac:dyDescent="0.25">
      <c r="A1071" s="6">
        <v>2070</v>
      </c>
      <c r="B1071" s="7">
        <v>45251.53377814815</v>
      </c>
      <c r="C1071" s="7">
        <v>45251.53377814815</v>
      </c>
      <c r="D1071" s="8">
        <v>45251.53377814815</v>
      </c>
      <c r="E1071" s="9" t="s">
        <v>166</v>
      </c>
      <c r="F1071" s="9" t="s">
        <v>8</v>
      </c>
      <c r="G1071" s="9" t="s">
        <v>2</v>
      </c>
      <c r="H1071" s="9" t="s">
        <v>24</v>
      </c>
      <c r="I1071" s="9">
        <v>1</v>
      </c>
      <c r="J1071" s="9">
        <v>869</v>
      </c>
      <c r="K1071" s="10">
        <v>869</v>
      </c>
      <c r="L1071" s="9">
        <f>HOUR([1]restaurant_sales_1200!$B1071)</f>
        <v>12</v>
      </c>
      <c r="M1071" s="9" t="str">
        <f t="shared" si="4"/>
        <v>Thursday</v>
      </c>
    </row>
    <row r="1072" spans="1:13" x14ac:dyDescent="0.25">
      <c r="A1072" s="6">
        <v>2071</v>
      </c>
      <c r="B1072" s="7">
        <v>45251.837364467596</v>
      </c>
      <c r="C1072" s="7">
        <v>45251.837364467596</v>
      </c>
      <c r="D1072" s="8">
        <v>45251.837364467596</v>
      </c>
      <c r="E1072" s="9" t="s">
        <v>114</v>
      </c>
      <c r="F1072" s="9" t="s">
        <v>1</v>
      </c>
      <c r="G1072" s="9" t="s">
        <v>9</v>
      </c>
      <c r="H1072" s="9" t="s">
        <v>3</v>
      </c>
      <c r="I1072" s="9">
        <v>5</v>
      </c>
      <c r="J1072" s="9">
        <v>419</v>
      </c>
      <c r="K1072" s="10">
        <v>2095</v>
      </c>
      <c r="L1072" s="9">
        <f>HOUR([1]restaurant_sales_1200!$B1072)</f>
        <v>20</v>
      </c>
      <c r="M1072" s="9" t="str">
        <f t="shared" si="4"/>
        <v>Friday</v>
      </c>
    </row>
    <row r="1073" spans="1:13" x14ac:dyDescent="0.25">
      <c r="A1073" s="6">
        <v>2072</v>
      </c>
      <c r="B1073" s="7">
        <v>45252.140950787034</v>
      </c>
      <c r="C1073" s="7">
        <v>45252.140950787034</v>
      </c>
      <c r="D1073" s="8">
        <v>45252.140950787034</v>
      </c>
      <c r="E1073" s="9" t="s">
        <v>102</v>
      </c>
      <c r="F1073" s="9" t="s">
        <v>1</v>
      </c>
      <c r="G1073" s="9" t="s">
        <v>30</v>
      </c>
      <c r="H1073" s="9" t="s">
        <v>20</v>
      </c>
      <c r="I1073" s="9">
        <v>3</v>
      </c>
      <c r="J1073" s="9">
        <v>902</v>
      </c>
      <c r="K1073" s="10">
        <v>2706</v>
      </c>
      <c r="L1073" s="9">
        <f>HOUR([1]restaurant_sales_1200!$B1073)</f>
        <v>3</v>
      </c>
      <c r="M1073" s="9" t="str">
        <f t="shared" si="4"/>
        <v>Saturday</v>
      </c>
    </row>
    <row r="1074" spans="1:13" x14ac:dyDescent="0.25">
      <c r="A1074" s="6">
        <v>2073</v>
      </c>
      <c r="B1074" s="7">
        <v>45252.444537118055</v>
      </c>
      <c r="C1074" s="7">
        <v>45252.444537118055</v>
      </c>
      <c r="D1074" s="8">
        <v>45252.444537118055</v>
      </c>
      <c r="E1074" s="9" t="s">
        <v>49</v>
      </c>
      <c r="F1074" s="9" t="s">
        <v>8</v>
      </c>
      <c r="G1074" s="9" t="s">
        <v>30</v>
      </c>
      <c r="H1074" s="9" t="s">
        <v>33</v>
      </c>
      <c r="I1074" s="9">
        <v>3</v>
      </c>
      <c r="J1074" s="9">
        <v>362</v>
      </c>
      <c r="K1074" s="10">
        <v>1086</v>
      </c>
      <c r="L1074" s="9">
        <f>HOUR([1]restaurant_sales_1200!$B1074)</f>
        <v>10</v>
      </c>
      <c r="M1074" s="9" t="str">
        <f t="shared" si="4"/>
        <v>Sunday</v>
      </c>
    </row>
    <row r="1075" spans="1:13" x14ac:dyDescent="0.25">
      <c r="A1075" s="6">
        <v>2074</v>
      </c>
      <c r="B1075" s="7">
        <v>45252.748123437501</v>
      </c>
      <c r="C1075" s="7">
        <v>45252.748123437501</v>
      </c>
      <c r="D1075" s="8">
        <v>45252.748123437501</v>
      </c>
      <c r="E1075" s="9" t="s">
        <v>197</v>
      </c>
      <c r="F1075" s="9" t="s">
        <v>1</v>
      </c>
      <c r="G1075" s="9" t="s">
        <v>30</v>
      </c>
      <c r="H1075" s="9" t="s">
        <v>26</v>
      </c>
      <c r="I1075" s="9">
        <v>3</v>
      </c>
      <c r="J1075" s="9">
        <v>696</v>
      </c>
      <c r="K1075" s="10">
        <v>2088</v>
      </c>
      <c r="L1075" s="9">
        <f>HOUR([1]restaurant_sales_1200!$B1075)</f>
        <v>17</v>
      </c>
      <c r="M1075" s="9" t="str">
        <f t="shared" si="4"/>
        <v>Monday</v>
      </c>
    </row>
    <row r="1076" spans="1:13" x14ac:dyDescent="0.25">
      <c r="A1076" s="6">
        <v>2075</v>
      </c>
      <c r="B1076" s="7">
        <v>45253.051709756946</v>
      </c>
      <c r="C1076" s="7">
        <v>45253.051709756946</v>
      </c>
      <c r="D1076" s="8">
        <v>45253.051709756946</v>
      </c>
      <c r="E1076" s="9" t="s">
        <v>241</v>
      </c>
      <c r="F1076" s="9" t="s">
        <v>1</v>
      </c>
      <c r="G1076" s="9" t="s">
        <v>2</v>
      </c>
      <c r="H1076" s="9" t="s">
        <v>24</v>
      </c>
      <c r="I1076" s="9">
        <v>5</v>
      </c>
      <c r="J1076" s="9">
        <v>757</v>
      </c>
      <c r="K1076" s="10">
        <v>3785</v>
      </c>
      <c r="L1076" s="9">
        <f>HOUR([1]restaurant_sales_1200!$B1076)</f>
        <v>1</v>
      </c>
      <c r="M1076" s="9" t="str">
        <f t="shared" si="4"/>
        <v>Tuesday</v>
      </c>
    </row>
    <row r="1077" spans="1:13" x14ac:dyDescent="0.25">
      <c r="A1077" s="6">
        <v>2076</v>
      </c>
      <c r="B1077" s="7">
        <v>45253.355296076392</v>
      </c>
      <c r="C1077" s="7">
        <v>45253.355296076392</v>
      </c>
      <c r="D1077" s="8">
        <v>45253.355296076392</v>
      </c>
      <c r="E1077" s="9" t="s">
        <v>268</v>
      </c>
      <c r="F1077" s="9" t="s">
        <v>19</v>
      </c>
      <c r="G1077" s="9" t="s">
        <v>9</v>
      </c>
      <c r="H1077" s="9" t="s">
        <v>24</v>
      </c>
      <c r="I1077" s="9">
        <v>1</v>
      </c>
      <c r="J1077" s="9">
        <v>934</v>
      </c>
      <c r="K1077" s="10">
        <v>934</v>
      </c>
      <c r="L1077" s="9">
        <f>HOUR([1]restaurant_sales_1200!$B1077)</f>
        <v>8</v>
      </c>
      <c r="M1077" s="9" t="str">
        <f t="shared" si="4"/>
        <v>Wednesday</v>
      </c>
    </row>
    <row r="1078" spans="1:13" x14ac:dyDescent="0.25">
      <c r="A1078" s="6">
        <v>2077</v>
      </c>
      <c r="B1078" s="7">
        <v>45253.658882407406</v>
      </c>
      <c r="C1078" s="7">
        <v>45253.658882407406</v>
      </c>
      <c r="D1078" s="8">
        <v>45253.658882407406</v>
      </c>
      <c r="E1078" s="9" t="s">
        <v>311</v>
      </c>
      <c r="F1078" s="9" t="s">
        <v>19</v>
      </c>
      <c r="G1078" s="9" t="s">
        <v>2</v>
      </c>
      <c r="H1078" s="9" t="s">
        <v>20</v>
      </c>
      <c r="I1078" s="9">
        <v>5</v>
      </c>
      <c r="J1078" s="9">
        <v>653</v>
      </c>
      <c r="K1078" s="10">
        <v>3265</v>
      </c>
      <c r="L1078" s="9">
        <f>HOUR([1]restaurant_sales_1200!$B1078)</f>
        <v>15</v>
      </c>
      <c r="M1078" s="9" t="str">
        <f t="shared" si="4"/>
        <v>Thursday</v>
      </c>
    </row>
    <row r="1079" spans="1:13" x14ac:dyDescent="0.25">
      <c r="A1079" s="6">
        <v>2078</v>
      </c>
      <c r="B1079" s="7">
        <v>45253.962468726852</v>
      </c>
      <c r="C1079" s="7">
        <v>45253.962468726852</v>
      </c>
      <c r="D1079" s="8">
        <v>45253.962468726852</v>
      </c>
      <c r="E1079" s="9" t="s">
        <v>188</v>
      </c>
      <c r="F1079" s="9" t="s">
        <v>1</v>
      </c>
      <c r="G1079" s="9" t="s">
        <v>6</v>
      </c>
      <c r="H1079" s="9" t="s">
        <v>26</v>
      </c>
      <c r="I1079" s="9">
        <v>5</v>
      </c>
      <c r="J1079" s="9">
        <v>473</v>
      </c>
      <c r="K1079" s="10">
        <v>2365</v>
      </c>
      <c r="L1079" s="9">
        <f>HOUR([1]restaurant_sales_1200!$B1079)</f>
        <v>23</v>
      </c>
      <c r="M1079" s="9" t="str">
        <f t="shared" si="4"/>
        <v>Friday</v>
      </c>
    </row>
    <row r="1080" spans="1:13" x14ac:dyDescent="0.25">
      <c r="A1080" s="6">
        <v>2079</v>
      </c>
      <c r="B1080" s="7">
        <v>45254.266055046297</v>
      </c>
      <c r="C1080" s="7">
        <v>45254.266055046297</v>
      </c>
      <c r="D1080" s="8">
        <v>45254.266055046297</v>
      </c>
      <c r="E1080" s="9" t="s">
        <v>70</v>
      </c>
      <c r="F1080" s="9" t="s">
        <v>8</v>
      </c>
      <c r="G1080" s="9" t="s">
        <v>6</v>
      </c>
      <c r="H1080" s="9" t="s">
        <v>47</v>
      </c>
      <c r="I1080" s="9">
        <v>3</v>
      </c>
      <c r="J1080" s="9">
        <v>736</v>
      </c>
      <c r="K1080" s="10">
        <v>2208</v>
      </c>
      <c r="L1080" s="9">
        <f>HOUR([1]restaurant_sales_1200!$B1080)</f>
        <v>6</v>
      </c>
      <c r="M1080" s="9" t="str">
        <f t="shared" si="4"/>
        <v>Saturday</v>
      </c>
    </row>
    <row r="1081" spans="1:13" x14ac:dyDescent="0.25">
      <c r="A1081" s="6">
        <v>2080</v>
      </c>
      <c r="B1081" s="7">
        <v>45254.569641365742</v>
      </c>
      <c r="C1081" s="7">
        <v>45254.569641365742</v>
      </c>
      <c r="D1081" s="8">
        <v>45254.569641365742</v>
      </c>
      <c r="E1081" s="9" t="s">
        <v>161</v>
      </c>
      <c r="F1081" s="9" t="s">
        <v>5</v>
      </c>
      <c r="G1081" s="9" t="s">
        <v>30</v>
      </c>
      <c r="H1081" s="9" t="s">
        <v>33</v>
      </c>
      <c r="I1081" s="9">
        <v>2</v>
      </c>
      <c r="J1081" s="9">
        <v>266</v>
      </c>
      <c r="K1081" s="10">
        <v>532</v>
      </c>
      <c r="L1081" s="9">
        <f>HOUR([1]restaurant_sales_1200!$B1081)</f>
        <v>13</v>
      </c>
      <c r="M1081" s="9" t="str">
        <f t="shared" si="4"/>
        <v>Sunday</v>
      </c>
    </row>
    <row r="1082" spans="1:13" x14ac:dyDescent="0.25">
      <c r="A1082" s="6">
        <v>2081</v>
      </c>
      <c r="B1082" s="7">
        <v>45254.873227685188</v>
      </c>
      <c r="C1082" s="7">
        <v>45254.873227685188</v>
      </c>
      <c r="D1082" s="8">
        <v>45254.873227685188</v>
      </c>
      <c r="E1082" s="9" t="s">
        <v>105</v>
      </c>
      <c r="F1082" s="9" t="s">
        <v>1</v>
      </c>
      <c r="G1082" s="9" t="s">
        <v>30</v>
      </c>
      <c r="H1082" s="9" t="s">
        <v>13</v>
      </c>
      <c r="I1082" s="9">
        <v>1</v>
      </c>
      <c r="J1082" s="9">
        <v>852</v>
      </c>
      <c r="K1082" s="10">
        <v>852</v>
      </c>
      <c r="L1082" s="9">
        <f>HOUR([1]restaurant_sales_1200!$B1082)</f>
        <v>20</v>
      </c>
      <c r="M1082" s="9" t="str">
        <f t="shared" si="4"/>
        <v>Monday</v>
      </c>
    </row>
    <row r="1083" spans="1:13" x14ac:dyDescent="0.25">
      <c r="A1083" s="6">
        <v>2082</v>
      </c>
      <c r="B1083" s="7">
        <v>45255.176814016202</v>
      </c>
      <c r="C1083" s="7">
        <v>45255.176814016202</v>
      </c>
      <c r="D1083" s="8">
        <v>45255.176814016202</v>
      </c>
      <c r="E1083" s="9" t="s">
        <v>187</v>
      </c>
      <c r="F1083" s="9" t="s">
        <v>1</v>
      </c>
      <c r="G1083" s="9" t="s">
        <v>30</v>
      </c>
      <c r="H1083" s="9" t="s">
        <v>20</v>
      </c>
      <c r="I1083" s="9">
        <v>3</v>
      </c>
      <c r="J1083" s="9">
        <v>558</v>
      </c>
      <c r="K1083" s="10">
        <v>1674</v>
      </c>
      <c r="L1083" s="9">
        <f>HOUR([1]restaurant_sales_1200!$B1083)</f>
        <v>4</v>
      </c>
      <c r="M1083" s="9" t="str">
        <f t="shared" si="4"/>
        <v>Tuesday</v>
      </c>
    </row>
    <row r="1084" spans="1:13" x14ac:dyDescent="0.25">
      <c r="A1084" s="6">
        <v>2083</v>
      </c>
      <c r="B1084" s="7">
        <v>45255.480400335648</v>
      </c>
      <c r="C1084" s="7">
        <v>45255.480400335648</v>
      </c>
      <c r="D1084" s="8">
        <v>45255.480400335648</v>
      </c>
      <c r="E1084" s="9" t="s">
        <v>243</v>
      </c>
      <c r="F1084" s="9" t="s">
        <v>5</v>
      </c>
      <c r="G1084" s="9" t="s">
        <v>9</v>
      </c>
      <c r="H1084" s="9" t="s">
        <v>33</v>
      </c>
      <c r="I1084" s="9">
        <v>2</v>
      </c>
      <c r="J1084" s="9">
        <v>379</v>
      </c>
      <c r="K1084" s="10">
        <v>758</v>
      </c>
      <c r="L1084" s="9">
        <f>HOUR([1]restaurant_sales_1200!$B1084)</f>
        <v>11</v>
      </c>
      <c r="M1084" s="9" t="str">
        <f t="shared" si="4"/>
        <v>Wednesday</v>
      </c>
    </row>
    <row r="1085" spans="1:13" x14ac:dyDescent="0.25">
      <c r="A1085" s="6">
        <v>2084</v>
      </c>
      <c r="B1085" s="7">
        <v>45255.783986655093</v>
      </c>
      <c r="C1085" s="7">
        <v>45255.783986655093</v>
      </c>
      <c r="D1085" s="8">
        <v>45255.783986655093</v>
      </c>
      <c r="E1085" s="9" t="s">
        <v>254</v>
      </c>
      <c r="F1085" s="9" t="s">
        <v>5</v>
      </c>
      <c r="G1085" s="9" t="s">
        <v>9</v>
      </c>
      <c r="H1085" s="9" t="s">
        <v>47</v>
      </c>
      <c r="I1085" s="9">
        <v>2</v>
      </c>
      <c r="J1085" s="9">
        <v>799</v>
      </c>
      <c r="K1085" s="10">
        <v>1598</v>
      </c>
      <c r="L1085" s="9">
        <f>HOUR([1]restaurant_sales_1200!$B1085)</f>
        <v>18</v>
      </c>
      <c r="M1085" s="9" t="str">
        <f t="shared" si="4"/>
        <v>Thursday</v>
      </c>
    </row>
    <row r="1086" spans="1:13" x14ac:dyDescent="0.25">
      <c r="A1086" s="6">
        <v>2085</v>
      </c>
      <c r="B1086" s="7">
        <v>45256.087572974538</v>
      </c>
      <c r="C1086" s="7">
        <v>45256.087572974538</v>
      </c>
      <c r="D1086" s="8">
        <v>45256.087572974538</v>
      </c>
      <c r="E1086" s="9" t="s">
        <v>245</v>
      </c>
      <c r="F1086" s="9" t="s">
        <v>5</v>
      </c>
      <c r="G1086" s="9" t="s">
        <v>30</v>
      </c>
      <c r="H1086" s="9" t="s">
        <v>31</v>
      </c>
      <c r="I1086" s="9">
        <v>4</v>
      </c>
      <c r="J1086" s="9">
        <v>401</v>
      </c>
      <c r="K1086" s="10">
        <v>1604</v>
      </c>
      <c r="L1086" s="9">
        <f>HOUR([1]restaurant_sales_1200!$B1086)</f>
        <v>2</v>
      </c>
      <c r="M1086" s="9" t="str">
        <f t="shared" si="4"/>
        <v>Friday</v>
      </c>
    </row>
    <row r="1087" spans="1:13" x14ac:dyDescent="0.25">
      <c r="A1087" s="6">
        <v>2086</v>
      </c>
      <c r="B1087" s="7">
        <v>45256.391159293984</v>
      </c>
      <c r="C1087" s="7">
        <v>45256.391159293984</v>
      </c>
      <c r="D1087" s="8">
        <v>45256.391159293984</v>
      </c>
      <c r="E1087" s="9" t="s">
        <v>146</v>
      </c>
      <c r="F1087" s="9" t="s">
        <v>19</v>
      </c>
      <c r="G1087" s="9" t="s">
        <v>9</v>
      </c>
      <c r="H1087" s="9" t="s">
        <v>3</v>
      </c>
      <c r="I1087" s="9">
        <v>1</v>
      </c>
      <c r="J1087" s="9">
        <v>630</v>
      </c>
      <c r="K1087" s="10">
        <v>630</v>
      </c>
      <c r="L1087" s="9">
        <f>HOUR([1]restaurant_sales_1200!$B1087)</f>
        <v>9</v>
      </c>
      <c r="M1087" s="9" t="str">
        <f t="shared" si="4"/>
        <v>Saturday</v>
      </c>
    </row>
    <row r="1088" spans="1:13" x14ac:dyDescent="0.25">
      <c r="A1088" s="6">
        <v>2087</v>
      </c>
      <c r="B1088" s="7">
        <v>45256.694745624998</v>
      </c>
      <c r="C1088" s="7">
        <v>45256.694745624998</v>
      </c>
      <c r="D1088" s="8">
        <v>45256.694745624998</v>
      </c>
      <c r="E1088" s="9" t="s">
        <v>161</v>
      </c>
      <c r="F1088" s="9" t="s">
        <v>19</v>
      </c>
      <c r="G1088" s="9" t="s">
        <v>15</v>
      </c>
      <c r="H1088" s="9" t="s">
        <v>10</v>
      </c>
      <c r="I1088" s="9">
        <v>2</v>
      </c>
      <c r="J1088" s="9">
        <v>679</v>
      </c>
      <c r="K1088" s="10">
        <v>1358</v>
      </c>
      <c r="L1088" s="9">
        <f>HOUR([1]restaurant_sales_1200!$B1088)</f>
        <v>16</v>
      </c>
      <c r="M1088" s="9" t="str">
        <f t="shared" si="4"/>
        <v>Sunday</v>
      </c>
    </row>
    <row r="1089" spans="1:13" x14ac:dyDescent="0.25">
      <c r="A1089" s="6">
        <v>2088</v>
      </c>
      <c r="B1089" s="7">
        <v>45256.998331944444</v>
      </c>
      <c r="C1089" s="7">
        <v>45256.998331944444</v>
      </c>
      <c r="D1089" s="8">
        <v>45256.998331944444</v>
      </c>
      <c r="E1089" s="9" t="s">
        <v>128</v>
      </c>
      <c r="F1089" s="9" t="s">
        <v>19</v>
      </c>
      <c r="G1089" s="9" t="s">
        <v>30</v>
      </c>
      <c r="H1089" s="9" t="s">
        <v>13</v>
      </c>
      <c r="I1089" s="9">
        <v>3</v>
      </c>
      <c r="J1089" s="9">
        <v>317</v>
      </c>
      <c r="K1089" s="10">
        <v>951</v>
      </c>
      <c r="L1089" s="9">
        <f>HOUR([1]restaurant_sales_1200!$B1089)</f>
        <v>23</v>
      </c>
      <c r="M1089" s="9" t="str">
        <f t="shared" si="4"/>
        <v>Monday</v>
      </c>
    </row>
    <row r="1090" spans="1:13" x14ac:dyDescent="0.25">
      <c r="A1090" s="6">
        <v>2089</v>
      </c>
      <c r="B1090" s="7">
        <v>45257.301918263889</v>
      </c>
      <c r="C1090" s="7">
        <v>45257.301918263889</v>
      </c>
      <c r="D1090" s="8">
        <v>45257.301918263889</v>
      </c>
      <c r="E1090" s="9" t="s">
        <v>312</v>
      </c>
      <c r="F1090" s="9" t="s">
        <v>8</v>
      </c>
      <c r="G1090" s="9" t="s">
        <v>15</v>
      </c>
      <c r="H1090" s="9" t="s">
        <v>10</v>
      </c>
      <c r="I1090" s="9">
        <v>4</v>
      </c>
      <c r="J1090" s="9">
        <v>201</v>
      </c>
      <c r="K1090" s="10">
        <v>804</v>
      </c>
      <c r="L1090" s="9">
        <f>HOUR([1]restaurant_sales_1200!$B1090)</f>
        <v>7</v>
      </c>
      <c r="M1090" s="9" t="str">
        <f t="shared" si="4"/>
        <v>Tuesday</v>
      </c>
    </row>
    <row r="1091" spans="1:13" x14ac:dyDescent="0.25">
      <c r="A1091" s="6">
        <v>2090</v>
      </c>
      <c r="B1091" s="7">
        <v>45257.605504583335</v>
      </c>
      <c r="C1091" s="7">
        <v>45257.605504583335</v>
      </c>
      <c r="D1091" s="8">
        <v>45257.605504583335</v>
      </c>
      <c r="E1091" s="9" t="s">
        <v>129</v>
      </c>
      <c r="F1091" s="9" t="s">
        <v>1</v>
      </c>
      <c r="G1091" s="9" t="s">
        <v>2</v>
      </c>
      <c r="H1091" s="9" t="s">
        <v>10</v>
      </c>
      <c r="I1091" s="9">
        <v>1</v>
      </c>
      <c r="J1091" s="9">
        <v>653</v>
      </c>
      <c r="K1091" s="10">
        <v>653</v>
      </c>
      <c r="L1091" s="9">
        <f>HOUR([1]restaurant_sales_1200!$B1091)</f>
        <v>14</v>
      </c>
      <c r="M1091" s="9" t="str">
        <f t="shared" si="4"/>
        <v>Wednesday</v>
      </c>
    </row>
    <row r="1092" spans="1:13" x14ac:dyDescent="0.25">
      <c r="A1092" s="6">
        <v>2091</v>
      </c>
      <c r="B1092" s="7">
        <v>45257.909090914349</v>
      </c>
      <c r="C1092" s="7">
        <v>45257.909090914349</v>
      </c>
      <c r="D1092" s="8">
        <v>45257.909090914349</v>
      </c>
      <c r="E1092" s="9" t="s">
        <v>121</v>
      </c>
      <c r="F1092" s="9" t="s">
        <v>19</v>
      </c>
      <c r="G1092" s="9" t="s">
        <v>15</v>
      </c>
      <c r="H1092" s="9" t="s">
        <v>26</v>
      </c>
      <c r="I1092" s="9">
        <v>5</v>
      </c>
      <c r="J1092" s="9">
        <v>387</v>
      </c>
      <c r="K1092" s="10">
        <v>1935</v>
      </c>
      <c r="L1092" s="9">
        <f>HOUR([1]restaurant_sales_1200!$B1092)</f>
        <v>21</v>
      </c>
      <c r="M1092" s="9" t="str">
        <f t="shared" si="4"/>
        <v>Thursday</v>
      </c>
    </row>
    <row r="1093" spans="1:13" x14ac:dyDescent="0.25">
      <c r="A1093" s="6">
        <v>2092</v>
      </c>
      <c r="B1093" s="7">
        <v>45258.212677233794</v>
      </c>
      <c r="C1093" s="7">
        <v>45258.212677233794</v>
      </c>
      <c r="D1093" s="8">
        <v>45258.212677233794</v>
      </c>
      <c r="E1093" s="9" t="s">
        <v>213</v>
      </c>
      <c r="F1093" s="9" t="s">
        <v>8</v>
      </c>
      <c r="G1093" s="9" t="s">
        <v>2</v>
      </c>
      <c r="H1093" s="9" t="s">
        <v>20</v>
      </c>
      <c r="I1093" s="9">
        <v>3</v>
      </c>
      <c r="J1093" s="9">
        <v>266</v>
      </c>
      <c r="K1093" s="10">
        <v>798</v>
      </c>
      <c r="L1093" s="9">
        <f>HOUR([1]restaurant_sales_1200!$B1093)</f>
        <v>5</v>
      </c>
      <c r="M1093" s="9" t="str">
        <f t="shared" si="4"/>
        <v>Friday</v>
      </c>
    </row>
    <row r="1094" spans="1:13" x14ac:dyDescent="0.25">
      <c r="A1094" s="6">
        <v>2093</v>
      </c>
      <c r="B1094" s="7">
        <v>45258.51626355324</v>
      </c>
      <c r="C1094" s="7">
        <v>45258.51626355324</v>
      </c>
      <c r="D1094" s="8">
        <v>45258.51626355324</v>
      </c>
      <c r="E1094" s="9" t="s">
        <v>145</v>
      </c>
      <c r="F1094" s="9" t="s">
        <v>8</v>
      </c>
      <c r="G1094" s="9" t="s">
        <v>2</v>
      </c>
      <c r="H1094" s="9" t="s">
        <v>24</v>
      </c>
      <c r="I1094" s="9">
        <v>2</v>
      </c>
      <c r="J1094" s="9">
        <v>720</v>
      </c>
      <c r="K1094" s="10">
        <v>1440</v>
      </c>
      <c r="L1094" s="9">
        <f>HOUR([1]restaurant_sales_1200!$B1094)</f>
        <v>12</v>
      </c>
      <c r="M1094" s="9" t="str">
        <f t="shared" si="4"/>
        <v>Saturday</v>
      </c>
    </row>
    <row r="1095" spans="1:13" x14ac:dyDescent="0.25">
      <c r="A1095" s="6">
        <v>2094</v>
      </c>
      <c r="B1095" s="7">
        <v>45258.819849872685</v>
      </c>
      <c r="C1095" s="7">
        <v>45258.819849872685</v>
      </c>
      <c r="D1095" s="8">
        <v>45258.819849872685</v>
      </c>
      <c r="E1095" s="9" t="s">
        <v>279</v>
      </c>
      <c r="F1095" s="9" t="s">
        <v>5</v>
      </c>
      <c r="G1095" s="9" t="s">
        <v>30</v>
      </c>
      <c r="H1095" s="9" t="s">
        <v>33</v>
      </c>
      <c r="I1095" s="9">
        <v>2</v>
      </c>
      <c r="J1095" s="9">
        <v>135</v>
      </c>
      <c r="K1095" s="10">
        <v>270</v>
      </c>
      <c r="L1095" s="9">
        <f>HOUR([1]restaurant_sales_1200!$B1095)</f>
        <v>19</v>
      </c>
      <c r="M1095" s="9" t="str">
        <f t="shared" si="4"/>
        <v>Sunday</v>
      </c>
    </row>
    <row r="1096" spans="1:13" x14ac:dyDescent="0.25">
      <c r="A1096" s="6">
        <v>2095</v>
      </c>
      <c r="B1096" s="7">
        <v>45259.123436192131</v>
      </c>
      <c r="C1096" s="7">
        <v>45259.123436192131</v>
      </c>
      <c r="D1096" s="8">
        <v>45259.123436192131</v>
      </c>
      <c r="E1096" s="9" t="s">
        <v>182</v>
      </c>
      <c r="F1096" s="9" t="s">
        <v>5</v>
      </c>
      <c r="G1096" s="9" t="s">
        <v>30</v>
      </c>
      <c r="H1096" s="9" t="s">
        <v>31</v>
      </c>
      <c r="I1096" s="9">
        <v>3</v>
      </c>
      <c r="J1096" s="9">
        <v>843</v>
      </c>
      <c r="K1096" s="10">
        <v>2529</v>
      </c>
      <c r="L1096" s="9">
        <f>HOUR([1]restaurant_sales_1200!$B1096)</f>
        <v>2</v>
      </c>
      <c r="M1096" s="9" t="str">
        <f t="shared" si="4"/>
        <v>Monday</v>
      </c>
    </row>
    <row r="1097" spans="1:13" x14ac:dyDescent="0.25">
      <c r="A1097" s="6">
        <v>2096</v>
      </c>
      <c r="B1097" s="7">
        <v>45259.427022523145</v>
      </c>
      <c r="C1097" s="7">
        <v>45259.427022523145</v>
      </c>
      <c r="D1097" s="8">
        <v>45259.427022523145</v>
      </c>
      <c r="E1097" s="9" t="s">
        <v>187</v>
      </c>
      <c r="F1097" s="9" t="s">
        <v>19</v>
      </c>
      <c r="G1097" s="9" t="s">
        <v>2</v>
      </c>
      <c r="H1097" s="9" t="s">
        <v>31</v>
      </c>
      <c r="I1097" s="9">
        <v>2</v>
      </c>
      <c r="J1097" s="9">
        <v>840</v>
      </c>
      <c r="K1097" s="10">
        <v>1680</v>
      </c>
      <c r="L1097" s="9">
        <f>HOUR([1]restaurant_sales_1200!$B1097)</f>
        <v>10</v>
      </c>
      <c r="M1097" s="9" t="str">
        <f t="shared" si="4"/>
        <v>Tuesday</v>
      </c>
    </row>
    <row r="1098" spans="1:13" x14ac:dyDescent="0.25">
      <c r="A1098" s="6">
        <v>2097</v>
      </c>
      <c r="B1098" s="7">
        <v>45259.73060884259</v>
      </c>
      <c r="C1098" s="7">
        <v>45259.73060884259</v>
      </c>
      <c r="D1098" s="8">
        <v>45259.73060884259</v>
      </c>
      <c r="E1098" s="9" t="s">
        <v>153</v>
      </c>
      <c r="F1098" s="9" t="s">
        <v>1</v>
      </c>
      <c r="G1098" s="9" t="s">
        <v>9</v>
      </c>
      <c r="H1098" s="9" t="s">
        <v>24</v>
      </c>
      <c r="I1098" s="9">
        <v>4</v>
      </c>
      <c r="J1098" s="9">
        <v>452</v>
      </c>
      <c r="K1098" s="10">
        <v>1808</v>
      </c>
      <c r="L1098" s="9">
        <f>HOUR([1]restaurant_sales_1200!$B1098)</f>
        <v>17</v>
      </c>
      <c r="M1098" s="9" t="str">
        <f t="shared" si="4"/>
        <v>Wednesday</v>
      </c>
    </row>
    <row r="1099" spans="1:13" x14ac:dyDescent="0.25">
      <c r="A1099" s="6">
        <v>2098</v>
      </c>
      <c r="B1099" s="7">
        <v>45260.034195162036</v>
      </c>
      <c r="C1099" s="7">
        <v>45260.034195162036</v>
      </c>
      <c r="D1099" s="8">
        <v>45260.034195162036</v>
      </c>
      <c r="E1099" s="9" t="s">
        <v>117</v>
      </c>
      <c r="F1099" s="9" t="s">
        <v>1</v>
      </c>
      <c r="G1099" s="9" t="s">
        <v>6</v>
      </c>
      <c r="H1099" s="9" t="s">
        <v>3</v>
      </c>
      <c r="I1099" s="9">
        <v>1</v>
      </c>
      <c r="J1099" s="9">
        <v>775</v>
      </c>
      <c r="K1099" s="10">
        <v>775</v>
      </c>
      <c r="L1099" s="9">
        <f>HOUR([1]restaurant_sales_1200!$B1099)</f>
        <v>0</v>
      </c>
      <c r="M1099" s="9" t="str">
        <f t="shared" si="4"/>
        <v>Thursday</v>
      </c>
    </row>
    <row r="1100" spans="1:13" x14ac:dyDescent="0.25">
      <c r="A1100" s="6">
        <v>2099</v>
      </c>
      <c r="B1100" s="7">
        <v>45260.337781481481</v>
      </c>
      <c r="C1100" s="7">
        <v>45260.337781481481</v>
      </c>
      <c r="D1100" s="8">
        <v>45260.337781481481</v>
      </c>
      <c r="E1100" s="9" t="s">
        <v>112</v>
      </c>
      <c r="F1100" s="9" t="s">
        <v>1</v>
      </c>
      <c r="G1100" s="9" t="s">
        <v>15</v>
      </c>
      <c r="H1100" s="9" t="s">
        <v>24</v>
      </c>
      <c r="I1100" s="9">
        <v>4</v>
      </c>
      <c r="J1100" s="9">
        <v>998</v>
      </c>
      <c r="K1100" s="10">
        <v>3992</v>
      </c>
      <c r="L1100" s="9">
        <f>HOUR([1]restaurant_sales_1200!$B1100)</f>
        <v>8</v>
      </c>
      <c r="M1100" s="9" t="str">
        <f t="shared" si="4"/>
        <v>Friday</v>
      </c>
    </row>
    <row r="1101" spans="1:13" x14ac:dyDescent="0.25">
      <c r="A1101" s="6">
        <v>2100</v>
      </c>
      <c r="B1101" s="7">
        <v>45260.641367800927</v>
      </c>
      <c r="C1101" s="7">
        <v>45260.641367800927</v>
      </c>
      <c r="D1101" s="8">
        <v>45260.641367800927</v>
      </c>
      <c r="E1101" s="9" t="s">
        <v>177</v>
      </c>
      <c r="F1101" s="9" t="s">
        <v>8</v>
      </c>
      <c r="G1101" s="9" t="s">
        <v>2</v>
      </c>
      <c r="H1101" s="9" t="s">
        <v>26</v>
      </c>
      <c r="I1101" s="9">
        <v>2</v>
      </c>
      <c r="J1101" s="9">
        <v>172</v>
      </c>
      <c r="K1101" s="10">
        <v>344</v>
      </c>
      <c r="L1101" s="9">
        <f>HOUR([1]restaurant_sales_1200!$B1101)</f>
        <v>15</v>
      </c>
      <c r="M1101" s="9" t="str">
        <f t="shared" si="4"/>
        <v>Saturday</v>
      </c>
    </row>
    <row r="1102" spans="1:13" x14ac:dyDescent="0.25">
      <c r="A1102" s="6">
        <v>2101</v>
      </c>
      <c r="B1102" s="7">
        <v>45260.944954131941</v>
      </c>
      <c r="C1102" s="7">
        <v>45260.944954131941</v>
      </c>
      <c r="D1102" s="8">
        <v>45260.944954131941</v>
      </c>
      <c r="E1102" s="9" t="s">
        <v>301</v>
      </c>
      <c r="F1102" s="9" t="s">
        <v>8</v>
      </c>
      <c r="G1102" s="9" t="s">
        <v>6</v>
      </c>
      <c r="H1102" s="9" t="s">
        <v>13</v>
      </c>
      <c r="I1102" s="9">
        <v>5</v>
      </c>
      <c r="J1102" s="9">
        <v>747</v>
      </c>
      <c r="K1102" s="10">
        <v>3735</v>
      </c>
      <c r="L1102" s="9">
        <f>HOUR([1]restaurant_sales_1200!$B1102)</f>
        <v>22</v>
      </c>
      <c r="M1102" s="9" t="str">
        <f t="shared" si="4"/>
        <v>Sunday</v>
      </c>
    </row>
    <row r="1103" spans="1:13" x14ac:dyDescent="0.25">
      <c r="A1103" s="6">
        <v>2102</v>
      </c>
      <c r="B1103" s="7">
        <v>45261.248540451386</v>
      </c>
      <c r="C1103" s="7">
        <v>45261.248540451386</v>
      </c>
      <c r="D1103" s="8">
        <v>45261.248540451386</v>
      </c>
      <c r="E1103" s="9" t="s">
        <v>152</v>
      </c>
      <c r="F1103" s="9" t="s">
        <v>8</v>
      </c>
      <c r="G1103" s="9" t="s">
        <v>30</v>
      </c>
      <c r="H1103" s="9" t="s">
        <v>13</v>
      </c>
      <c r="I1103" s="9">
        <v>1</v>
      </c>
      <c r="J1103" s="9">
        <v>452</v>
      </c>
      <c r="K1103" s="10">
        <v>452</v>
      </c>
      <c r="L1103" s="9">
        <f>HOUR([1]restaurant_sales_1200!$B1103)</f>
        <v>5</v>
      </c>
      <c r="M1103" s="9" t="str">
        <f t="shared" si="4"/>
        <v>Monday</v>
      </c>
    </row>
    <row r="1104" spans="1:13" x14ac:dyDescent="0.25">
      <c r="A1104" s="6">
        <v>2103</v>
      </c>
      <c r="B1104" s="7">
        <v>45261.552126770832</v>
      </c>
      <c r="C1104" s="7">
        <v>45261.552126770832</v>
      </c>
      <c r="D1104" s="8">
        <v>45261.552126770832</v>
      </c>
      <c r="E1104" s="9" t="s">
        <v>282</v>
      </c>
      <c r="F1104" s="9" t="s">
        <v>8</v>
      </c>
      <c r="G1104" s="9" t="s">
        <v>30</v>
      </c>
      <c r="H1104" s="9" t="s">
        <v>3</v>
      </c>
      <c r="I1104" s="9">
        <v>1</v>
      </c>
      <c r="J1104" s="9">
        <v>990</v>
      </c>
      <c r="K1104" s="10">
        <v>990</v>
      </c>
      <c r="L1104" s="9">
        <f>HOUR([1]restaurant_sales_1200!$B1104)</f>
        <v>13</v>
      </c>
      <c r="M1104" s="9" t="str">
        <f t="shared" si="4"/>
        <v>Tuesday</v>
      </c>
    </row>
    <row r="1105" spans="1:13" x14ac:dyDescent="0.25">
      <c r="A1105" s="6">
        <v>2104</v>
      </c>
      <c r="B1105" s="7">
        <v>45261.855713090277</v>
      </c>
      <c r="C1105" s="7">
        <v>45261.855713090277</v>
      </c>
      <c r="D1105" s="8">
        <v>45261.855713090277</v>
      </c>
      <c r="E1105" s="9" t="s">
        <v>81</v>
      </c>
      <c r="F1105" s="9" t="s">
        <v>1</v>
      </c>
      <c r="G1105" s="9" t="s">
        <v>2</v>
      </c>
      <c r="H1105" s="9" t="s">
        <v>20</v>
      </c>
      <c r="I1105" s="9">
        <v>3</v>
      </c>
      <c r="J1105" s="9">
        <v>169</v>
      </c>
      <c r="K1105" s="10">
        <v>507</v>
      </c>
      <c r="L1105" s="9">
        <f>HOUR([1]restaurant_sales_1200!$B1105)</f>
        <v>20</v>
      </c>
      <c r="M1105" s="9" t="str">
        <f t="shared" si="4"/>
        <v>Wednesday</v>
      </c>
    </row>
    <row r="1106" spans="1:13" x14ac:dyDescent="0.25">
      <c r="A1106" s="6">
        <v>2105</v>
      </c>
      <c r="B1106" s="7">
        <v>45262.159299421299</v>
      </c>
      <c r="C1106" s="7">
        <v>45262.159299421299</v>
      </c>
      <c r="D1106" s="8">
        <v>45262.159299421299</v>
      </c>
      <c r="E1106" s="9" t="s">
        <v>312</v>
      </c>
      <c r="F1106" s="9" t="s">
        <v>1</v>
      </c>
      <c r="G1106" s="9" t="s">
        <v>9</v>
      </c>
      <c r="H1106" s="9" t="s">
        <v>26</v>
      </c>
      <c r="I1106" s="9">
        <v>3</v>
      </c>
      <c r="J1106" s="9">
        <v>524</v>
      </c>
      <c r="K1106" s="10">
        <v>1572</v>
      </c>
      <c r="L1106" s="9">
        <f>HOUR([1]restaurant_sales_1200!$B1106)</f>
        <v>3</v>
      </c>
      <c r="M1106" s="9" t="str">
        <f t="shared" si="4"/>
        <v>Thursday</v>
      </c>
    </row>
    <row r="1107" spans="1:13" x14ac:dyDescent="0.25">
      <c r="A1107" s="6">
        <v>2106</v>
      </c>
      <c r="B1107" s="7">
        <v>45262.462885740744</v>
      </c>
      <c r="C1107" s="7">
        <v>45262.462885740744</v>
      </c>
      <c r="D1107" s="8">
        <v>45262.462885740744</v>
      </c>
      <c r="E1107" s="9" t="s">
        <v>105</v>
      </c>
      <c r="F1107" s="9" t="s">
        <v>5</v>
      </c>
      <c r="G1107" s="9" t="s">
        <v>2</v>
      </c>
      <c r="H1107" s="9" t="s">
        <v>20</v>
      </c>
      <c r="I1107" s="9">
        <v>5</v>
      </c>
      <c r="J1107" s="9">
        <v>807</v>
      </c>
      <c r="K1107" s="10">
        <v>4035</v>
      </c>
      <c r="L1107" s="9">
        <f>HOUR([1]restaurant_sales_1200!$B1107)</f>
        <v>11</v>
      </c>
      <c r="M1107" s="9" t="str">
        <f t="shared" si="4"/>
        <v>Friday</v>
      </c>
    </row>
    <row r="1108" spans="1:13" x14ac:dyDescent="0.25">
      <c r="A1108" s="6">
        <v>2107</v>
      </c>
      <c r="B1108" s="7">
        <v>45262.766472060182</v>
      </c>
      <c r="C1108" s="7">
        <v>45262.766472060182</v>
      </c>
      <c r="D1108" s="8">
        <v>45262.766472060182</v>
      </c>
      <c r="E1108" s="9" t="s">
        <v>92</v>
      </c>
      <c r="F1108" s="9" t="s">
        <v>1</v>
      </c>
      <c r="G1108" s="9" t="s">
        <v>15</v>
      </c>
      <c r="H1108" s="9" t="s">
        <v>16</v>
      </c>
      <c r="I1108" s="9">
        <v>1</v>
      </c>
      <c r="J1108" s="9">
        <v>880</v>
      </c>
      <c r="K1108" s="10">
        <v>880</v>
      </c>
      <c r="L1108" s="9">
        <f>HOUR([1]restaurant_sales_1200!$B1108)</f>
        <v>18</v>
      </c>
      <c r="M1108" s="9" t="str">
        <f t="shared" si="4"/>
        <v>Saturday</v>
      </c>
    </row>
    <row r="1109" spans="1:13" x14ac:dyDescent="0.25">
      <c r="A1109" s="6">
        <v>2108</v>
      </c>
      <c r="B1109" s="7">
        <v>45263.070058379628</v>
      </c>
      <c r="C1109" s="7">
        <v>45263.070058379628</v>
      </c>
      <c r="D1109" s="8">
        <v>45263.070058379628</v>
      </c>
      <c r="E1109" s="9" t="s">
        <v>180</v>
      </c>
      <c r="F1109" s="9" t="s">
        <v>8</v>
      </c>
      <c r="G1109" s="9" t="s">
        <v>6</v>
      </c>
      <c r="H1109" s="9" t="s">
        <v>10</v>
      </c>
      <c r="I1109" s="9">
        <v>5</v>
      </c>
      <c r="J1109" s="9">
        <v>660</v>
      </c>
      <c r="K1109" s="10">
        <v>3300</v>
      </c>
      <c r="L1109" s="9">
        <f>HOUR([1]restaurant_sales_1200!$B1109)</f>
        <v>1</v>
      </c>
      <c r="M1109" s="9" t="str">
        <f t="shared" si="4"/>
        <v>Sunday</v>
      </c>
    </row>
    <row r="1110" spans="1:13" x14ac:dyDescent="0.25">
      <c r="A1110" s="6">
        <v>2109</v>
      </c>
      <c r="B1110" s="7">
        <v>45263.373644699073</v>
      </c>
      <c r="C1110" s="7">
        <v>45263.373644699073</v>
      </c>
      <c r="D1110" s="8">
        <v>45263.373644699073</v>
      </c>
      <c r="E1110" s="9" t="s">
        <v>52</v>
      </c>
      <c r="F1110" s="9" t="s">
        <v>8</v>
      </c>
      <c r="G1110" s="9" t="s">
        <v>9</v>
      </c>
      <c r="H1110" s="9" t="s">
        <v>26</v>
      </c>
      <c r="I1110" s="9">
        <v>3</v>
      </c>
      <c r="J1110" s="9">
        <v>927</v>
      </c>
      <c r="K1110" s="10">
        <v>2781</v>
      </c>
      <c r="L1110" s="9">
        <f>HOUR([1]restaurant_sales_1200!$B1110)</f>
        <v>8</v>
      </c>
      <c r="M1110" s="9" t="str">
        <f t="shared" si="4"/>
        <v>Monday</v>
      </c>
    </row>
    <row r="1111" spans="1:13" x14ac:dyDescent="0.25">
      <c r="A1111" s="6">
        <v>2110</v>
      </c>
      <c r="B1111" s="7">
        <v>45263.677231030095</v>
      </c>
      <c r="C1111" s="7">
        <v>45263.677231030095</v>
      </c>
      <c r="D1111" s="8">
        <v>45263.677231030095</v>
      </c>
      <c r="E1111" s="9" t="s">
        <v>55</v>
      </c>
      <c r="F1111" s="9" t="s">
        <v>19</v>
      </c>
      <c r="G1111" s="9" t="s">
        <v>2</v>
      </c>
      <c r="H1111" s="9" t="s">
        <v>33</v>
      </c>
      <c r="I1111" s="9">
        <v>3</v>
      </c>
      <c r="J1111" s="9">
        <v>741</v>
      </c>
      <c r="K1111" s="10">
        <v>2223</v>
      </c>
      <c r="L1111" s="9">
        <f>HOUR([1]restaurant_sales_1200!$B1111)</f>
        <v>16</v>
      </c>
      <c r="M1111" s="9" t="str">
        <f t="shared" si="4"/>
        <v>Tuesday</v>
      </c>
    </row>
    <row r="1112" spans="1:13" x14ac:dyDescent="0.25">
      <c r="A1112" s="6">
        <v>2111</v>
      </c>
      <c r="B1112" s="7">
        <v>45263.98081734954</v>
      </c>
      <c r="C1112" s="7">
        <v>45263.98081734954</v>
      </c>
      <c r="D1112" s="8">
        <v>45263.98081734954</v>
      </c>
      <c r="E1112" s="9" t="s">
        <v>56</v>
      </c>
      <c r="F1112" s="9" t="s">
        <v>1</v>
      </c>
      <c r="G1112" s="9" t="s">
        <v>15</v>
      </c>
      <c r="H1112" s="9" t="s">
        <v>3</v>
      </c>
      <c r="I1112" s="9">
        <v>1</v>
      </c>
      <c r="J1112" s="9">
        <v>616</v>
      </c>
      <c r="K1112" s="10">
        <v>616</v>
      </c>
      <c r="L1112" s="9">
        <f>HOUR([1]restaurant_sales_1200!$B1112)</f>
        <v>23</v>
      </c>
      <c r="M1112" s="9" t="str">
        <f t="shared" si="4"/>
        <v>Wednesday</v>
      </c>
    </row>
    <row r="1113" spans="1:13" x14ac:dyDescent="0.25">
      <c r="A1113" s="6">
        <v>2112</v>
      </c>
      <c r="B1113" s="7">
        <v>45264.284403668978</v>
      </c>
      <c r="C1113" s="7">
        <v>45264.284403668978</v>
      </c>
      <c r="D1113" s="8">
        <v>45264.284403668978</v>
      </c>
      <c r="E1113" s="9" t="s">
        <v>69</v>
      </c>
      <c r="F1113" s="9" t="s">
        <v>1</v>
      </c>
      <c r="G1113" s="9" t="s">
        <v>15</v>
      </c>
      <c r="H1113" s="9" t="s">
        <v>47</v>
      </c>
      <c r="I1113" s="9">
        <v>4</v>
      </c>
      <c r="J1113" s="9">
        <v>527</v>
      </c>
      <c r="K1113" s="10">
        <v>2108</v>
      </c>
      <c r="L1113" s="9">
        <f>HOUR([1]restaurant_sales_1200!$B1113)</f>
        <v>6</v>
      </c>
      <c r="M1113" s="9" t="str">
        <f t="shared" si="4"/>
        <v>Thursday</v>
      </c>
    </row>
    <row r="1114" spans="1:13" x14ac:dyDescent="0.25">
      <c r="A1114" s="6">
        <v>2113</v>
      </c>
      <c r="B1114" s="7">
        <v>45264.587989988424</v>
      </c>
      <c r="C1114" s="7">
        <v>45264.587989988424</v>
      </c>
      <c r="D1114" s="8">
        <v>45264.587989988424</v>
      </c>
      <c r="E1114" s="9" t="s">
        <v>280</v>
      </c>
      <c r="F1114" s="9" t="s">
        <v>5</v>
      </c>
      <c r="G1114" s="9" t="s">
        <v>9</v>
      </c>
      <c r="H1114" s="9" t="s">
        <v>10</v>
      </c>
      <c r="I1114" s="9">
        <v>2</v>
      </c>
      <c r="J1114" s="9">
        <v>638</v>
      </c>
      <c r="K1114" s="10">
        <v>1276</v>
      </c>
      <c r="L1114" s="9">
        <f>HOUR([1]restaurant_sales_1200!$B1114)</f>
        <v>14</v>
      </c>
      <c r="M1114" s="9" t="str">
        <f t="shared" si="4"/>
        <v>Friday</v>
      </c>
    </row>
    <row r="1115" spans="1:13" x14ac:dyDescent="0.25">
      <c r="A1115" s="6">
        <v>2114</v>
      </c>
      <c r="B1115" s="7">
        <v>45264.891576307869</v>
      </c>
      <c r="C1115" s="7">
        <v>45264.891576307869</v>
      </c>
      <c r="D1115" s="8">
        <v>45264.891576307869</v>
      </c>
      <c r="E1115" s="9" t="s">
        <v>97</v>
      </c>
      <c r="F1115" s="9" t="s">
        <v>5</v>
      </c>
      <c r="G1115" s="9" t="s">
        <v>15</v>
      </c>
      <c r="H1115" s="9" t="s">
        <v>24</v>
      </c>
      <c r="I1115" s="9">
        <v>3</v>
      </c>
      <c r="J1115" s="9">
        <v>259</v>
      </c>
      <c r="K1115" s="10">
        <v>777</v>
      </c>
      <c r="L1115" s="9">
        <f>HOUR([1]restaurant_sales_1200!$B1115)</f>
        <v>21</v>
      </c>
      <c r="M1115" s="9" t="str">
        <f t="shared" si="4"/>
        <v>Saturday</v>
      </c>
    </row>
    <row r="1116" spans="1:13" x14ac:dyDescent="0.25">
      <c r="A1116" s="6">
        <v>2115</v>
      </c>
      <c r="B1116" s="7">
        <v>45265.195162638891</v>
      </c>
      <c r="C1116" s="7">
        <v>45265.195162638891</v>
      </c>
      <c r="D1116" s="8">
        <v>45265.195162638891</v>
      </c>
      <c r="E1116" s="9" t="s">
        <v>98</v>
      </c>
      <c r="F1116" s="9" t="s">
        <v>8</v>
      </c>
      <c r="G1116" s="9" t="s">
        <v>15</v>
      </c>
      <c r="H1116" s="9" t="s">
        <v>31</v>
      </c>
      <c r="I1116" s="9">
        <v>3</v>
      </c>
      <c r="J1116" s="9">
        <v>248</v>
      </c>
      <c r="K1116" s="10">
        <v>744</v>
      </c>
      <c r="L1116" s="9">
        <f>HOUR([1]restaurant_sales_1200!$B1116)</f>
        <v>4</v>
      </c>
      <c r="M1116" s="9" t="str">
        <f t="shared" si="4"/>
        <v>Sunday</v>
      </c>
    </row>
    <row r="1117" spans="1:13" x14ac:dyDescent="0.25">
      <c r="A1117" s="6">
        <v>2116</v>
      </c>
      <c r="B1117" s="7">
        <v>45265.498748958336</v>
      </c>
      <c r="C1117" s="7">
        <v>45265.498748958336</v>
      </c>
      <c r="D1117" s="8">
        <v>45265.498748958336</v>
      </c>
      <c r="E1117" s="9" t="s">
        <v>111</v>
      </c>
      <c r="F1117" s="9" t="s">
        <v>19</v>
      </c>
      <c r="G1117" s="9" t="s">
        <v>15</v>
      </c>
      <c r="H1117" s="9" t="s">
        <v>24</v>
      </c>
      <c r="I1117" s="9">
        <v>4</v>
      </c>
      <c r="J1117" s="9">
        <v>875</v>
      </c>
      <c r="K1117" s="10">
        <v>3500</v>
      </c>
      <c r="L1117" s="9">
        <f>HOUR([1]restaurant_sales_1200!$B1117)</f>
        <v>11</v>
      </c>
      <c r="M1117" s="9" t="str">
        <f t="shared" si="4"/>
        <v>Monday</v>
      </c>
    </row>
    <row r="1118" spans="1:13" x14ac:dyDescent="0.25">
      <c r="A1118" s="6">
        <v>2117</v>
      </c>
      <c r="B1118" s="7">
        <v>45265.802335277775</v>
      </c>
      <c r="C1118" s="7">
        <v>45265.802335277775</v>
      </c>
      <c r="D1118" s="8">
        <v>45265.802335277775</v>
      </c>
      <c r="E1118" s="9" t="s">
        <v>313</v>
      </c>
      <c r="F1118" s="9" t="s">
        <v>1</v>
      </c>
      <c r="G1118" s="9" t="s">
        <v>15</v>
      </c>
      <c r="H1118" s="9" t="s">
        <v>31</v>
      </c>
      <c r="I1118" s="9">
        <v>4</v>
      </c>
      <c r="J1118" s="9">
        <v>329</v>
      </c>
      <c r="K1118" s="10">
        <v>1316</v>
      </c>
      <c r="L1118" s="9">
        <f>HOUR([1]restaurant_sales_1200!$B1118)</f>
        <v>19</v>
      </c>
      <c r="M1118" s="9" t="str">
        <f t="shared" si="4"/>
        <v>Tuesday</v>
      </c>
    </row>
    <row r="1119" spans="1:13" x14ac:dyDescent="0.25">
      <c r="A1119" s="6">
        <v>2118</v>
      </c>
      <c r="B1119" s="7">
        <v>45266.10592159722</v>
      </c>
      <c r="C1119" s="7">
        <v>45266.10592159722</v>
      </c>
      <c r="D1119" s="8">
        <v>45266.10592159722</v>
      </c>
      <c r="E1119" s="9" t="s">
        <v>174</v>
      </c>
      <c r="F1119" s="9" t="s">
        <v>1</v>
      </c>
      <c r="G1119" s="9" t="s">
        <v>2</v>
      </c>
      <c r="H1119" s="9" t="s">
        <v>24</v>
      </c>
      <c r="I1119" s="9">
        <v>5</v>
      </c>
      <c r="J1119" s="9">
        <v>811</v>
      </c>
      <c r="K1119" s="10">
        <v>4055</v>
      </c>
      <c r="L1119" s="9">
        <f>HOUR([1]restaurant_sales_1200!$B1119)</f>
        <v>2</v>
      </c>
      <c r="M1119" s="9" t="str">
        <f t="shared" si="4"/>
        <v>Wednesday</v>
      </c>
    </row>
    <row r="1120" spans="1:13" x14ac:dyDescent="0.25">
      <c r="A1120" s="6">
        <v>2119</v>
      </c>
      <c r="B1120" s="7">
        <v>45266.409507928242</v>
      </c>
      <c r="C1120" s="7">
        <v>45266.409507928242</v>
      </c>
      <c r="D1120" s="8">
        <v>45266.409507928242</v>
      </c>
      <c r="E1120" s="9" t="s">
        <v>29</v>
      </c>
      <c r="F1120" s="9" t="s">
        <v>19</v>
      </c>
      <c r="G1120" s="9" t="s">
        <v>9</v>
      </c>
      <c r="H1120" s="9" t="s">
        <v>3</v>
      </c>
      <c r="I1120" s="9">
        <v>5</v>
      </c>
      <c r="J1120" s="9">
        <v>661</v>
      </c>
      <c r="K1120" s="10">
        <v>3305</v>
      </c>
      <c r="L1120" s="9">
        <f>HOUR([1]restaurant_sales_1200!$B1120)</f>
        <v>9</v>
      </c>
      <c r="M1120" s="9" t="str">
        <f t="shared" si="4"/>
        <v>Thursday</v>
      </c>
    </row>
    <row r="1121" spans="1:13" x14ac:dyDescent="0.25">
      <c r="A1121" s="6">
        <v>2120</v>
      </c>
      <c r="B1121" s="7">
        <v>45266.713094247687</v>
      </c>
      <c r="C1121" s="7">
        <v>45266.713094247687</v>
      </c>
      <c r="D1121" s="8">
        <v>45266.713094247687</v>
      </c>
      <c r="E1121" s="9" t="s">
        <v>305</v>
      </c>
      <c r="F1121" s="9" t="s">
        <v>1</v>
      </c>
      <c r="G1121" s="9" t="s">
        <v>6</v>
      </c>
      <c r="H1121" s="9" t="s">
        <v>13</v>
      </c>
      <c r="I1121" s="9">
        <v>2</v>
      </c>
      <c r="J1121" s="9">
        <v>166</v>
      </c>
      <c r="K1121" s="10">
        <v>332</v>
      </c>
      <c r="L1121" s="9">
        <f>HOUR([1]restaurant_sales_1200!$B1121)</f>
        <v>17</v>
      </c>
      <c r="M1121" s="9" t="str">
        <f t="shared" si="4"/>
        <v>Friday</v>
      </c>
    </row>
    <row r="1122" spans="1:13" x14ac:dyDescent="0.25">
      <c r="A1122" s="6">
        <v>2121</v>
      </c>
      <c r="B1122" s="7">
        <v>45267.016680567132</v>
      </c>
      <c r="C1122" s="7">
        <v>45267.016680567132</v>
      </c>
      <c r="D1122" s="8">
        <v>45267.016680567132</v>
      </c>
      <c r="E1122" s="9" t="s">
        <v>4</v>
      </c>
      <c r="F1122" s="9" t="s">
        <v>5</v>
      </c>
      <c r="G1122" s="9" t="s">
        <v>6</v>
      </c>
      <c r="H1122" s="9" t="s">
        <v>31</v>
      </c>
      <c r="I1122" s="9">
        <v>2</v>
      </c>
      <c r="J1122" s="9">
        <v>911</v>
      </c>
      <c r="K1122" s="10">
        <v>1822</v>
      </c>
      <c r="L1122" s="9">
        <f>HOUR([1]restaurant_sales_1200!$B1122)</f>
        <v>0</v>
      </c>
      <c r="M1122" s="9" t="str">
        <f t="shared" si="4"/>
        <v>Saturday</v>
      </c>
    </row>
    <row r="1123" spans="1:13" x14ac:dyDescent="0.25">
      <c r="A1123" s="6">
        <v>2122</v>
      </c>
      <c r="B1123" s="7">
        <v>45267.320266886571</v>
      </c>
      <c r="C1123" s="7">
        <v>45267.320266886571</v>
      </c>
      <c r="D1123" s="8">
        <v>45267.320266886571</v>
      </c>
      <c r="E1123" s="9" t="s">
        <v>35</v>
      </c>
      <c r="F1123" s="9" t="s">
        <v>19</v>
      </c>
      <c r="G1123" s="9" t="s">
        <v>15</v>
      </c>
      <c r="H1123" s="9" t="s">
        <v>24</v>
      </c>
      <c r="I1123" s="9">
        <v>1</v>
      </c>
      <c r="J1123" s="9">
        <v>480</v>
      </c>
      <c r="K1123" s="10">
        <v>480</v>
      </c>
      <c r="L1123" s="9">
        <f>HOUR([1]restaurant_sales_1200!$B1123)</f>
        <v>7</v>
      </c>
      <c r="M1123" s="9" t="str">
        <f t="shared" si="4"/>
        <v>Sunday</v>
      </c>
    </row>
    <row r="1124" spans="1:13" x14ac:dyDescent="0.25">
      <c r="A1124" s="6">
        <v>2123</v>
      </c>
      <c r="B1124" s="7">
        <v>45267.623853206016</v>
      </c>
      <c r="C1124" s="7">
        <v>45267.623853206016</v>
      </c>
      <c r="D1124" s="8">
        <v>45267.623853206016</v>
      </c>
      <c r="E1124" s="9" t="s">
        <v>243</v>
      </c>
      <c r="F1124" s="9" t="s">
        <v>1</v>
      </c>
      <c r="G1124" s="9" t="s">
        <v>2</v>
      </c>
      <c r="H1124" s="9" t="s">
        <v>3</v>
      </c>
      <c r="I1124" s="9">
        <v>5</v>
      </c>
      <c r="J1124" s="9">
        <v>157</v>
      </c>
      <c r="K1124" s="10">
        <v>785</v>
      </c>
      <c r="L1124" s="9">
        <f>HOUR([1]restaurant_sales_1200!$B1124)</f>
        <v>14</v>
      </c>
      <c r="M1124" s="9" t="str">
        <f t="shared" si="4"/>
        <v>Monday</v>
      </c>
    </row>
    <row r="1125" spans="1:13" x14ac:dyDescent="0.25">
      <c r="A1125" s="6">
        <v>2124</v>
      </c>
      <c r="B1125" s="7">
        <v>45267.927439537038</v>
      </c>
      <c r="C1125" s="7">
        <v>45267.927439537038</v>
      </c>
      <c r="D1125" s="8">
        <v>45267.927439537038</v>
      </c>
      <c r="E1125" s="9" t="s">
        <v>230</v>
      </c>
      <c r="F1125" s="9" t="s">
        <v>5</v>
      </c>
      <c r="G1125" s="9" t="s">
        <v>15</v>
      </c>
      <c r="H1125" s="9" t="s">
        <v>24</v>
      </c>
      <c r="I1125" s="9">
        <v>3</v>
      </c>
      <c r="J1125" s="9">
        <v>358</v>
      </c>
      <c r="K1125" s="10">
        <v>1074</v>
      </c>
      <c r="L1125" s="9">
        <f>HOUR([1]restaurant_sales_1200!$B1125)</f>
        <v>22</v>
      </c>
      <c r="M1125" s="9" t="str">
        <f t="shared" si="4"/>
        <v>Tuesday</v>
      </c>
    </row>
    <row r="1126" spans="1:13" x14ac:dyDescent="0.25">
      <c r="A1126" s="6">
        <v>2125</v>
      </c>
      <c r="B1126" s="7">
        <v>45268.231025856483</v>
      </c>
      <c r="C1126" s="7">
        <v>45268.231025856483</v>
      </c>
      <c r="D1126" s="8">
        <v>45268.231025856483</v>
      </c>
      <c r="E1126" s="9" t="s">
        <v>109</v>
      </c>
      <c r="F1126" s="9" t="s">
        <v>5</v>
      </c>
      <c r="G1126" s="9" t="s">
        <v>15</v>
      </c>
      <c r="H1126" s="9" t="s">
        <v>26</v>
      </c>
      <c r="I1126" s="9">
        <v>5</v>
      </c>
      <c r="J1126" s="9">
        <v>441</v>
      </c>
      <c r="K1126" s="10">
        <v>2205</v>
      </c>
      <c r="L1126" s="9">
        <f>HOUR([1]restaurant_sales_1200!$B1126)</f>
        <v>5</v>
      </c>
      <c r="M1126" s="9" t="str">
        <f t="shared" si="4"/>
        <v>Wednesday</v>
      </c>
    </row>
    <row r="1127" spans="1:13" x14ac:dyDescent="0.25">
      <c r="A1127" s="6">
        <v>2126</v>
      </c>
      <c r="B1127" s="7">
        <v>45268.534612175928</v>
      </c>
      <c r="C1127" s="7">
        <v>45268.534612175928</v>
      </c>
      <c r="D1127" s="8">
        <v>45268.534612175928</v>
      </c>
      <c r="E1127" s="9" t="s">
        <v>262</v>
      </c>
      <c r="F1127" s="9" t="s">
        <v>8</v>
      </c>
      <c r="G1127" s="9" t="s">
        <v>2</v>
      </c>
      <c r="H1127" s="9" t="s">
        <v>3</v>
      </c>
      <c r="I1127" s="9">
        <v>3</v>
      </c>
      <c r="J1127" s="9">
        <v>937</v>
      </c>
      <c r="K1127" s="10">
        <v>2811</v>
      </c>
      <c r="L1127" s="9">
        <f>HOUR([1]restaurant_sales_1200!$B1127)</f>
        <v>12</v>
      </c>
      <c r="M1127" s="9" t="str">
        <f t="shared" si="4"/>
        <v>Thursday</v>
      </c>
    </row>
    <row r="1128" spans="1:13" x14ac:dyDescent="0.25">
      <c r="A1128" s="6">
        <v>2127</v>
      </c>
      <c r="B1128" s="7">
        <v>45268.838198495374</v>
      </c>
      <c r="C1128" s="7">
        <v>45268.838198495374</v>
      </c>
      <c r="D1128" s="8">
        <v>45268.838198495374</v>
      </c>
      <c r="E1128" s="9" t="s">
        <v>209</v>
      </c>
      <c r="F1128" s="9" t="s">
        <v>1</v>
      </c>
      <c r="G1128" s="9" t="s">
        <v>30</v>
      </c>
      <c r="H1128" s="9" t="s">
        <v>16</v>
      </c>
      <c r="I1128" s="9">
        <v>4</v>
      </c>
      <c r="J1128" s="9">
        <v>229</v>
      </c>
      <c r="K1128" s="10">
        <v>916</v>
      </c>
      <c r="L1128" s="9">
        <f>HOUR([1]restaurant_sales_1200!$B1128)</f>
        <v>20</v>
      </c>
      <c r="M1128" s="9" t="str">
        <f t="shared" si="4"/>
        <v>Friday</v>
      </c>
    </row>
    <row r="1129" spans="1:13" x14ac:dyDescent="0.25">
      <c r="A1129" s="6">
        <v>2128</v>
      </c>
      <c r="B1129" s="7">
        <v>45269.141784826388</v>
      </c>
      <c r="C1129" s="7">
        <v>45269.141784826388</v>
      </c>
      <c r="D1129" s="8">
        <v>45269.141784826388</v>
      </c>
      <c r="E1129" s="9" t="s">
        <v>242</v>
      </c>
      <c r="F1129" s="9" t="s">
        <v>19</v>
      </c>
      <c r="G1129" s="9" t="s">
        <v>9</v>
      </c>
      <c r="H1129" s="9" t="s">
        <v>10</v>
      </c>
      <c r="I1129" s="9">
        <v>5</v>
      </c>
      <c r="J1129" s="9">
        <v>826</v>
      </c>
      <c r="K1129" s="10">
        <v>4130</v>
      </c>
      <c r="L1129" s="9">
        <f>HOUR([1]restaurant_sales_1200!$B1129)</f>
        <v>3</v>
      </c>
      <c r="M1129" s="9" t="str">
        <f t="shared" si="4"/>
        <v>Saturday</v>
      </c>
    </row>
    <row r="1130" spans="1:13" x14ac:dyDescent="0.25">
      <c r="A1130" s="6">
        <v>2129</v>
      </c>
      <c r="B1130" s="7">
        <v>45269.445371145834</v>
      </c>
      <c r="C1130" s="7">
        <v>45269.445371145834</v>
      </c>
      <c r="D1130" s="8">
        <v>45269.445371145834</v>
      </c>
      <c r="E1130" s="9" t="s">
        <v>212</v>
      </c>
      <c r="F1130" s="9" t="s">
        <v>5</v>
      </c>
      <c r="G1130" s="9" t="s">
        <v>6</v>
      </c>
      <c r="H1130" s="9" t="s">
        <v>26</v>
      </c>
      <c r="I1130" s="9">
        <v>4</v>
      </c>
      <c r="J1130" s="9">
        <v>271</v>
      </c>
      <c r="K1130" s="10">
        <v>1084</v>
      </c>
      <c r="L1130" s="9">
        <f>HOUR([1]restaurant_sales_1200!$B1130)</f>
        <v>10</v>
      </c>
      <c r="M1130" s="9" t="str">
        <f t="shared" si="4"/>
        <v>Sunday</v>
      </c>
    </row>
    <row r="1131" spans="1:13" x14ac:dyDescent="0.25">
      <c r="A1131" s="6">
        <v>2130</v>
      </c>
      <c r="B1131" s="7">
        <v>45269.748957465279</v>
      </c>
      <c r="C1131" s="7">
        <v>45269.748957465279</v>
      </c>
      <c r="D1131" s="8">
        <v>45269.748957465279</v>
      </c>
      <c r="E1131" s="9" t="s">
        <v>14</v>
      </c>
      <c r="F1131" s="9" t="s">
        <v>5</v>
      </c>
      <c r="G1131" s="9" t="s">
        <v>2</v>
      </c>
      <c r="H1131" s="9" t="s">
        <v>16</v>
      </c>
      <c r="I1131" s="9">
        <v>2</v>
      </c>
      <c r="J1131" s="9">
        <v>869</v>
      </c>
      <c r="K1131" s="10">
        <v>1738</v>
      </c>
      <c r="L1131" s="9">
        <f>HOUR([1]restaurant_sales_1200!$B1131)</f>
        <v>17</v>
      </c>
      <c r="M1131" s="9" t="str">
        <f t="shared" si="4"/>
        <v>Monday</v>
      </c>
    </row>
    <row r="1132" spans="1:13" x14ac:dyDescent="0.25">
      <c r="A1132" s="6">
        <v>2131</v>
      </c>
      <c r="B1132" s="7">
        <v>45270.052543784725</v>
      </c>
      <c r="C1132" s="7">
        <v>45270.052543784725</v>
      </c>
      <c r="D1132" s="8">
        <v>45270.052543784725</v>
      </c>
      <c r="E1132" s="9" t="s">
        <v>65</v>
      </c>
      <c r="F1132" s="9" t="s">
        <v>8</v>
      </c>
      <c r="G1132" s="9" t="s">
        <v>6</v>
      </c>
      <c r="H1132" s="9" t="s">
        <v>20</v>
      </c>
      <c r="I1132" s="9">
        <v>2</v>
      </c>
      <c r="J1132" s="9">
        <v>713</v>
      </c>
      <c r="K1132" s="10">
        <v>1426</v>
      </c>
      <c r="L1132" s="9">
        <f>HOUR([1]restaurant_sales_1200!$B1132)</f>
        <v>1</v>
      </c>
      <c r="M1132" s="9" t="str">
        <f t="shared" si="4"/>
        <v>Tuesday</v>
      </c>
    </row>
    <row r="1133" spans="1:13" x14ac:dyDescent="0.25">
      <c r="A1133" s="6">
        <v>2132</v>
      </c>
      <c r="B1133" s="7">
        <v>45270.35613010417</v>
      </c>
      <c r="C1133" s="7">
        <v>45270.35613010417</v>
      </c>
      <c r="D1133" s="8">
        <v>45270.35613010417</v>
      </c>
      <c r="E1133" s="9" t="s">
        <v>228</v>
      </c>
      <c r="F1133" s="9" t="s">
        <v>19</v>
      </c>
      <c r="G1133" s="9" t="s">
        <v>2</v>
      </c>
      <c r="H1133" s="9" t="s">
        <v>13</v>
      </c>
      <c r="I1133" s="9">
        <v>1</v>
      </c>
      <c r="J1133" s="9">
        <v>308</v>
      </c>
      <c r="K1133" s="10">
        <v>308</v>
      </c>
      <c r="L1133" s="9">
        <f>HOUR([1]restaurant_sales_1200!$B1133)</f>
        <v>8</v>
      </c>
      <c r="M1133" s="9" t="str">
        <f t="shared" si="4"/>
        <v>Wednesday</v>
      </c>
    </row>
    <row r="1134" spans="1:13" x14ac:dyDescent="0.25">
      <c r="A1134" s="6">
        <v>2133</v>
      </c>
      <c r="B1134" s="7">
        <v>45270.659716435184</v>
      </c>
      <c r="C1134" s="7">
        <v>45270.659716435184</v>
      </c>
      <c r="D1134" s="8">
        <v>45270.659716435184</v>
      </c>
      <c r="E1134" s="9" t="s">
        <v>248</v>
      </c>
      <c r="F1134" s="9" t="s">
        <v>8</v>
      </c>
      <c r="G1134" s="9" t="s">
        <v>2</v>
      </c>
      <c r="H1134" s="9" t="s">
        <v>16</v>
      </c>
      <c r="I1134" s="9">
        <v>5</v>
      </c>
      <c r="J1134" s="9">
        <v>902</v>
      </c>
      <c r="K1134" s="10">
        <v>4510</v>
      </c>
      <c r="L1134" s="9">
        <f>HOUR([1]restaurant_sales_1200!$B1134)</f>
        <v>15</v>
      </c>
      <c r="M1134" s="9" t="str">
        <f t="shared" si="4"/>
        <v>Thursday</v>
      </c>
    </row>
    <row r="1135" spans="1:13" x14ac:dyDescent="0.25">
      <c r="A1135" s="6">
        <v>2134</v>
      </c>
      <c r="B1135" s="7">
        <v>45270.96330275463</v>
      </c>
      <c r="C1135" s="7">
        <v>45270.96330275463</v>
      </c>
      <c r="D1135" s="8">
        <v>45270.96330275463</v>
      </c>
      <c r="E1135" s="9" t="s">
        <v>104</v>
      </c>
      <c r="F1135" s="9" t="s">
        <v>5</v>
      </c>
      <c r="G1135" s="9" t="s">
        <v>30</v>
      </c>
      <c r="H1135" s="9" t="s">
        <v>16</v>
      </c>
      <c r="I1135" s="9">
        <v>4</v>
      </c>
      <c r="J1135" s="9">
        <v>453</v>
      </c>
      <c r="K1135" s="10">
        <v>1812</v>
      </c>
      <c r="L1135" s="9">
        <f>HOUR([1]restaurant_sales_1200!$B1135)</f>
        <v>23</v>
      </c>
      <c r="M1135" s="9" t="str">
        <f t="shared" si="4"/>
        <v>Friday</v>
      </c>
    </row>
    <row r="1136" spans="1:13" x14ac:dyDescent="0.25">
      <c r="A1136" s="6">
        <v>2135</v>
      </c>
      <c r="B1136" s="7">
        <v>45271.266889074075</v>
      </c>
      <c r="C1136" s="7">
        <v>45271.266889074075</v>
      </c>
      <c r="D1136" s="8">
        <v>45271.266889074075</v>
      </c>
      <c r="E1136" s="9" t="s">
        <v>212</v>
      </c>
      <c r="F1136" s="9" t="s">
        <v>1</v>
      </c>
      <c r="G1136" s="9" t="s">
        <v>15</v>
      </c>
      <c r="H1136" s="9" t="s">
        <v>26</v>
      </c>
      <c r="I1136" s="9">
        <v>3</v>
      </c>
      <c r="J1136" s="9">
        <v>570</v>
      </c>
      <c r="K1136" s="10">
        <v>1710</v>
      </c>
      <c r="L1136" s="9">
        <f>HOUR([1]restaurant_sales_1200!$B1136)</f>
        <v>6</v>
      </c>
      <c r="M1136" s="9" t="str">
        <f t="shared" si="4"/>
        <v>Saturday</v>
      </c>
    </row>
    <row r="1137" spans="1:13" x14ac:dyDescent="0.25">
      <c r="A1137" s="6">
        <v>2136</v>
      </c>
      <c r="B1137" s="7">
        <v>45271.570475393521</v>
      </c>
      <c r="C1137" s="7">
        <v>45271.570475393521</v>
      </c>
      <c r="D1137" s="8">
        <v>45271.570475393521</v>
      </c>
      <c r="E1137" s="9" t="s">
        <v>49</v>
      </c>
      <c r="F1137" s="9" t="s">
        <v>19</v>
      </c>
      <c r="G1137" s="9" t="s">
        <v>9</v>
      </c>
      <c r="H1137" s="9" t="s">
        <v>33</v>
      </c>
      <c r="I1137" s="9">
        <v>2</v>
      </c>
      <c r="J1137" s="9">
        <v>897</v>
      </c>
      <c r="K1137" s="10">
        <v>1794</v>
      </c>
      <c r="L1137" s="9">
        <f>HOUR([1]restaurant_sales_1200!$B1137)</f>
        <v>13</v>
      </c>
      <c r="M1137" s="9" t="str">
        <f t="shared" si="4"/>
        <v>Sunday</v>
      </c>
    </row>
    <row r="1138" spans="1:13" x14ac:dyDescent="0.25">
      <c r="A1138" s="6">
        <v>2137</v>
      </c>
      <c r="B1138" s="7">
        <v>45271.874061712966</v>
      </c>
      <c r="C1138" s="7">
        <v>45271.874061712966</v>
      </c>
      <c r="D1138" s="8">
        <v>45271.874061712966</v>
      </c>
      <c r="E1138" s="9" t="s">
        <v>195</v>
      </c>
      <c r="F1138" s="9" t="s">
        <v>1</v>
      </c>
      <c r="G1138" s="9" t="s">
        <v>30</v>
      </c>
      <c r="H1138" s="9" t="s">
        <v>16</v>
      </c>
      <c r="I1138" s="9">
        <v>2</v>
      </c>
      <c r="J1138" s="9">
        <v>215</v>
      </c>
      <c r="K1138" s="10">
        <v>430</v>
      </c>
      <c r="L1138" s="9">
        <f>HOUR([1]restaurant_sales_1200!$B1138)</f>
        <v>20</v>
      </c>
      <c r="M1138" s="9" t="str">
        <f t="shared" si="4"/>
        <v>Monday</v>
      </c>
    </row>
    <row r="1139" spans="1:13" x14ac:dyDescent="0.25">
      <c r="A1139" s="6">
        <v>2138</v>
      </c>
      <c r="B1139" s="7">
        <v>45272.17764804398</v>
      </c>
      <c r="C1139" s="7">
        <v>45272.17764804398</v>
      </c>
      <c r="D1139" s="8">
        <v>45272.17764804398</v>
      </c>
      <c r="E1139" s="9" t="s">
        <v>96</v>
      </c>
      <c r="F1139" s="9" t="s">
        <v>1</v>
      </c>
      <c r="G1139" s="9" t="s">
        <v>6</v>
      </c>
      <c r="H1139" s="9" t="s">
        <v>31</v>
      </c>
      <c r="I1139" s="9">
        <v>3</v>
      </c>
      <c r="J1139" s="9">
        <v>363</v>
      </c>
      <c r="K1139" s="10">
        <v>1089</v>
      </c>
      <c r="L1139" s="9">
        <f>HOUR([1]restaurant_sales_1200!$B1139)</f>
        <v>4</v>
      </c>
      <c r="M1139" s="9" t="str">
        <f t="shared" si="4"/>
        <v>Tuesday</v>
      </c>
    </row>
    <row r="1140" spans="1:13" x14ac:dyDescent="0.25">
      <c r="A1140" s="6">
        <v>2139</v>
      </c>
      <c r="B1140" s="7">
        <v>45272.481234363426</v>
      </c>
      <c r="C1140" s="7">
        <v>45272.481234363426</v>
      </c>
      <c r="D1140" s="8">
        <v>45272.481234363426</v>
      </c>
      <c r="E1140" s="9" t="s">
        <v>277</v>
      </c>
      <c r="F1140" s="9" t="s">
        <v>8</v>
      </c>
      <c r="G1140" s="9" t="s">
        <v>9</v>
      </c>
      <c r="H1140" s="9" t="s">
        <v>3</v>
      </c>
      <c r="I1140" s="9">
        <v>4</v>
      </c>
      <c r="J1140" s="9">
        <v>761</v>
      </c>
      <c r="K1140" s="10">
        <v>3044</v>
      </c>
      <c r="L1140" s="9">
        <f>HOUR([1]restaurant_sales_1200!$B1140)</f>
        <v>11</v>
      </c>
      <c r="M1140" s="9" t="str">
        <f t="shared" si="4"/>
        <v>Wednesday</v>
      </c>
    </row>
    <row r="1141" spans="1:13" x14ac:dyDescent="0.25">
      <c r="A1141" s="6">
        <v>2140</v>
      </c>
      <c r="B1141" s="7">
        <v>45272.784820682871</v>
      </c>
      <c r="C1141" s="7">
        <v>45272.784820682871</v>
      </c>
      <c r="D1141" s="8">
        <v>45272.784820682871</v>
      </c>
      <c r="E1141" s="9" t="s">
        <v>314</v>
      </c>
      <c r="F1141" s="9" t="s">
        <v>5</v>
      </c>
      <c r="G1141" s="9" t="s">
        <v>15</v>
      </c>
      <c r="H1141" s="9" t="s">
        <v>31</v>
      </c>
      <c r="I1141" s="9">
        <v>4</v>
      </c>
      <c r="J1141" s="9">
        <v>911</v>
      </c>
      <c r="K1141" s="10">
        <v>3644</v>
      </c>
      <c r="L1141" s="9">
        <f>HOUR([1]restaurant_sales_1200!$B1141)</f>
        <v>18</v>
      </c>
      <c r="M1141" s="9" t="str">
        <f t="shared" si="4"/>
        <v>Thursday</v>
      </c>
    </row>
    <row r="1142" spans="1:13" x14ac:dyDescent="0.25">
      <c r="A1142" s="6">
        <v>2141</v>
      </c>
      <c r="B1142" s="7">
        <v>45273.088407002317</v>
      </c>
      <c r="C1142" s="7">
        <v>45273.088407002317</v>
      </c>
      <c r="D1142" s="8">
        <v>45273.088407002317</v>
      </c>
      <c r="E1142" s="9" t="s">
        <v>69</v>
      </c>
      <c r="F1142" s="9" t="s">
        <v>1</v>
      </c>
      <c r="G1142" s="9" t="s">
        <v>30</v>
      </c>
      <c r="H1142" s="9" t="s">
        <v>10</v>
      </c>
      <c r="I1142" s="9">
        <v>5</v>
      </c>
      <c r="J1142" s="9">
        <v>541</v>
      </c>
      <c r="K1142" s="10">
        <v>2705</v>
      </c>
      <c r="L1142" s="9">
        <f>HOUR([1]restaurant_sales_1200!$B1142)</f>
        <v>2</v>
      </c>
      <c r="M1142" s="9" t="str">
        <f t="shared" si="4"/>
        <v>Friday</v>
      </c>
    </row>
    <row r="1143" spans="1:13" x14ac:dyDescent="0.25">
      <c r="A1143" s="6">
        <v>2142</v>
      </c>
      <c r="B1143" s="7">
        <v>45273.391993333331</v>
      </c>
      <c r="C1143" s="7">
        <v>45273.391993333331</v>
      </c>
      <c r="D1143" s="8">
        <v>45273.391993333331</v>
      </c>
      <c r="E1143" s="9" t="s">
        <v>72</v>
      </c>
      <c r="F1143" s="9" t="s">
        <v>19</v>
      </c>
      <c r="G1143" s="9" t="s">
        <v>2</v>
      </c>
      <c r="H1143" s="9" t="s">
        <v>20</v>
      </c>
      <c r="I1143" s="9">
        <v>5</v>
      </c>
      <c r="J1143" s="9">
        <v>647</v>
      </c>
      <c r="K1143" s="10">
        <v>3235</v>
      </c>
      <c r="L1143" s="9">
        <f>HOUR([1]restaurant_sales_1200!$B1143)</f>
        <v>9</v>
      </c>
      <c r="M1143" s="9" t="str">
        <f t="shared" si="4"/>
        <v>Saturday</v>
      </c>
    </row>
    <row r="1144" spans="1:13" x14ac:dyDescent="0.25">
      <c r="A1144" s="6">
        <v>2143</v>
      </c>
      <c r="B1144" s="7">
        <v>45273.695579652776</v>
      </c>
      <c r="C1144" s="7">
        <v>45273.695579652776</v>
      </c>
      <c r="D1144" s="8">
        <v>45273.695579652776</v>
      </c>
      <c r="E1144" s="9" t="s">
        <v>128</v>
      </c>
      <c r="F1144" s="9" t="s">
        <v>8</v>
      </c>
      <c r="G1144" s="9" t="s">
        <v>6</v>
      </c>
      <c r="H1144" s="9" t="s">
        <v>20</v>
      </c>
      <c r="I1144" s="9">
        <v>1</v>
      </c>
      <c r="J1144" s="9">
        <v>552</v>
      </c>
      <c r="K1144" s="10">
        <v>552</v>
      </c>
      <c r="L1144" s="9">
        <f>HOUR([1]restaurant_sales_1200!$B1144)</f>
        <v>16</v>
      </c>
      <c r="M1144" s="9" t="str">
        <f t="shared" si="4"/>
        <v>Sunday</v>
      </c>
    </row>
    <row r="1145" spans="1:13" x14ac:dyDescent="0.25">
      <c r="A1145" s="6">
        <v>2144</v>
      </c>
      <c r="B1145" s="7">
        <v>45273.999165972222</v>
      </c>
      <c r="C1145" s="7">
        <v>45273.999165972222</v>
      </c>
      <c r="D1145" s="8">
        <v>45273.999165972222</v>
      </c>
      <c r="E1145" s="9" t="s">
        <v>37</v>
      </c>
      <c r="F1145" s="9" t="s">
        <v>19</v>
      </c>
      <c r="G1145" s="9" t="s">
        <v>30</v>
      </c>
      <c r="H1145" s="9" t="s">
        <v>13</v>
      </c>
      <c r="I1145" s="9">
        <v>2</v>
      </c>
      <c r="J1145" s="9">
        <v>944</v>
      </c>
      <c r="K1145" s="10">
        <v>1888</v>
      </c>
      <c r="L1145" s="9">
        <f>HOUR([1]restaurant_sales_1200!$B1145)</f>
        <v>23</v>
      </c>
      <c r="M1145" s="9" t="str">
        <f t="shared" si="4"/>
        <v>Monday</v>
      </c>
    </row>
    <row r="1146" spans="1:13" x14ac:dyDescent="0.25">
      <c r="A1146" s="6">
        <v>2145</v>
      </c>
      <c r="B1146" s="7">
        <v>45274.302752291667</v>
      </c>
      <c r="C1146" s="7">
        <v>45274.302752291667</v>
      </c>
      <c r="D1146" s="8">
        <v>45274.302752291667</v>
      </c>
      <c r="E1146" s="9" t="s">
        <v>44</v>
      </c>
      <c r="F1146" s="9" t="s">
        <v>1</v>
      </c>
      <c r="G1146" s="9" t="s">
        <v>30</v>
      </c>
      <c r="H1146" s="9" t="s">
        <v>10</v>
      </c>
      <c r="I1146" s="9">
        <v>5</v>
      </c>
      <c r="J1146" s="9">
        <v>576</v>
      </c>
      <c r="K1146" s="10">
        <v>2880</v>
      </c>
      <c r="L1146" s="9">
        <f>HOUR([1]restaurant_sales_1200!$B1146)</f>
        <v>7</v>
      </c>
      <c r="M1146" s="9" t="str">
        <f t="shared" si="4"/>
        <v>Tuesday</v>
      </c>
    </row>
    <row r="1147" spans="1:13" x14ac:dyDescent="0.25">
      <c r="A1147" s="6">
        <v>2146</v>
      </c>
      <c r="B1147" s="7">
        <v>45274.606338611113</v>
      </c>
      <c r="C1147" s="7">
        <v>45274.606338611113</v>
      </c>
      <c r="D1147" s="8">
        <v>45274.606338611113</v>
      </c>
      <c r="E1147" s="9" t="s">
        <v>254</v>
      </c>
      <c r="F1147" s="9" t="s">
        <v>19</v>
      </c>
      <c r="G1147" s="9" t="s">
        <v>9</v>
      </c>
      <c r="H1147" s="9" t="s">
        <v>13</v>
      </c>
      <c r="I1147" s="9">
        <v>4</v>
      </c>
      <c r="J1147" s="9">
        <v>386</v>
      </c>
      <c r="K1147" s="10">
        <v>1544</v>
      </c>
      <c r="L1147" s="9">
        <f>HOUR([1]restaurant_sales_1200!$B1147)</f>
        <v>14</v>
      </c>
      <c r="M1147" s="9" t="str">
        <f t="shared" si="4"/>
        <v>Wednesday</v>
      </c>
    </row>
    <row r="1148" spans="1:13" x14ac:dyDescent="0.25">
      <c r="A1148" s="6">
        <v>2147</v>
      </c>
      <c r="B1148" s="7">
        <v>45274.909924942127</v>
      </c>
      <c r="C1148" s="7">
        <v>45274.909924942127</v>
      </c>
      <c r="D1148" s="8">
        <v>45274.909924942127</v>
      </c>
      <c r="E1148" s="9" t="s">
        <v>171</v>
      </c>
      <c r="F1148" s="9" t="s">
        <v>8</v>
      </c>
      <c r="G1148" s="9" t="s">
        <v>6</v>
      </c>
      <c r="H1148" s="9" t="s">
        <v>24</v>
      </c>
      <c r="I1148" s="9">
        <v>3</v>
      </c>
      <c r="J1148" s="9">
        <v>402</v>
      </c>
      <c r="K1148" s="10">
        <v>1206</v>
      </c>
      <c r="L1148" s="9">
        <f>HOUR([1]restaurant_sales_1200!$B1148)</f>
        <v>21</v>
      </c>
      <c r="M1148" s="9" t="str">
        <f t="shared" si="4"/>
        <v>Thursday</v>
      </c>
    </row>
    <row r="1149" spans="1:13" x14ac:dyDescent="0.25">
      <c r="A1149" s="6">
        <v>2148</v>
      </c>
      <c r="B1149" s="7">
        <v>45275.213511261572</v>
      </c>
      <c r="C1149" s="7">
        <v>45275.213511261572</v>
      </c>
      <c r="D1149" s="8">
        <v>45275.213511261572</v>
      </c>
      <c r="E1149" s="9" t="s">
        <v>132</v>
      </c>
      <c r="F1149" s="9" t="s">
        <v>8</v>
      </c>
      <c r="G1149" s="9" t="s">
        <v>6</v>
      </c>
      <c r="H1149" s="9" t="s">
        <v>24</v>
      </c>
      <c r="I1149" s="9">
        <v>4</v>
      </c>
      <c r="J1149" s="9">
        <v>410</v>
      </c>
      <c r="K1149" s="10">
        <v>1640</v>
      </c>
      <c r="L1149" s="9">
        <f>HOUR([1]restaurant_sales_1200!$B1149)</f>
        <v>5</v>
      </c>
      <c r="M1149" s="9" t="str">
        <f t="shared" si="4"/>
        <v>Friday</v>
      </c>
    </row>
    <row r="1150" spans="1:13" x14ac:dyDescent="0.25">
      <c r="A1150" s="6">
        <v>2149</v>
      </c>
      <c r="B1150" s="7">
        <v>45275.517097581018</v>
      </c>
      <c r="C1150" s="7">
        <v>45275.517097581018</v>
      </c>
      <c r="D1150" s="8">
        <v>45275.517097581018</v>
      </c>
      <c r="E1150" s="9" t="s">
        <v>165</v>
      </c>
      <c r="F1150" s="9" t="s">
        <v>5</v>
      </c>
      <c r="G1150" s="9" t="s">
        <v>6</v>
      </c>
      <c r="H1150" s="9" t="s">
        <v>33</v>
      </c>
      <c r="I1150" s="9">
        <v>2</v>
      </c>
      <c r="J1150" s="9">
        <v>307</v>
      </c>
      <c r="K1150" s="10">
        <v>614</v>
      </c>
      <c r="L1150" s="9">
        <f>HOUR([1]restaurant_sales_1200!$B1150)</f>
        <v>12</v>
      </c>
      <c r="M1150" s="9" t="str">
        <f t="shared" si="4"/>
        <v>Saturday</v>
      </c>
    </row>
    <row r="1151" spans="1:13" x14ac:dyDescent="0.25">
      <c r="A1151" s="6">
        <v>2150</v>
      </c>
      <c r="B1151" s="7">
        <v>45275.820683900463</v>
      </c>
      <c r="C1151" s="7">
        <v>45275.820683900463</v>
      </c>
      <c r="D1151" s="8">
        <v>45275.820683900463</v>
      </c>
      <c r="E1151" s="9" t="s">
        <v>287</v>
      </c>
      <c r="F1151" s="9" t="s">
        <v>19</v>
      </c>
      <c r="G1151" s="9" t="s">
        <v>9</v>
      </c>
      <c r="H1151" s="9" t="s">
        <v>3</v>
      </c>
      <c r="I1151" s="9">
        <v>4</v>
      </c>
      <c r="J1151" s="9">
        <v>717</v>
      </c>
      <c r="K1151" s="10">
        <v>2868</v>
      </c>
      <c r="L1151" s="9">
        <f>HOUR([1]restaurant_sales_1200!$B1151)</f>
        <v>19</v>
      </c>
      <c r="M1151" s="9" t="str">
        <f t="shared" si="4"/>
        <v>Sunday</v>
      </c>
    </row>
    <row r="1152" spans="1:13" x14ac:dyDescent="0.25">
      <c r="A1152" s="6">
        <v>2151</v>
      </c>
      <c r="B1152" s="7">
        <v>45276.124270219909</v>
      </c>
      <c r="C1152" s="7">
        <v>45276.124270219909</v>
      </c>
      <c r="D1152" s="8">
        <v>45276.124270219909</v>
      </c>
      <c r="E1152" s="9" t="s">
        <v>23</v>
      </c>
      <c r="F1152" s="9" t="s">
        <v>8</v>
      </c>
      <c r="G1152" s="9" t="s">
        <v>6</v>
      </c>
      <c r="H1152" s="9" t="s">
        <v>20</v>
      </c>
      <c r="I1152" s="9">
        <v>1</v>
      </c>
      <c r="J1152" s="9">
        <v>545</v>
      </c>
      <c r="K1152" s="10">
        <v>545</v>
      </c>
      <c r="L1152" s="9">
        <f>HOUR([1]restaurant_sales_1200!$B1152)</f>
        <v>2</v>
      </c>
      <c r="M1152" s="9" t="str">
        <f t="shared" si="4"/>
        <v>Monday</v>
      </c>
    </row>
    <row r="1153" spans="1:13" x14ac:dyDescent="0.25">
      <c r="A1153" s="6">
        <v>2152</v>
      </c>
      <c r="B1153" s="7">
        <v>45276.427856550923</v>
      </c>
      <c r="C1153" s="7">
        <v>45276.427856550923</v>
      </c>
      <c r="D1153" s="8">
        <v>45276.427856550923</v>
      </c>
      <c r="E1153" s="9" t="s">
        <v>72</v>
      </c>
      <c r="F1153" s="9" t="s">
        <v>8</v>
      </c>
      <c r="G1153" s="9" t="s">
        <v>9</v>
      </c>
      <c r="H1153" s="9" t="s">
        <v>3</v>
      </c>
      <c r="I1153" s="9">
        <v>2</v>
      </c>
      <c r="J1153" s="9">
        <v>769</v>
      </c>
      <c r="K1153" s="10">
        <v>1538</v>
      </c>
      <c r="L1153" s="9">
        <f>HOUR([1]restaurant_sales_1200!$B1153)</f>
        <v>10</v>
      </c>
      <c r="M1153" s="9" t="str">
        <f t="shared" si="4"/>
        <v>Tuesday</v>
      </c>
    </row>
    <row r="1154" spans="1:13" x14ac:dyDescent="0.25">
      <c r="A1154" s="6">
        <v>2153</v>
      </c>
      <c r="B1154" s="7">
        <v>45276.731442870368</v>
      </c>
      <c r="C1154" s="7">
        <v>45276.731442870368</v>
      </c>
      <c r="D1154" s="8">
        <v>45276.731442870368</v>
      </c>
      <c r="E1154" s="9" t="s">
        <v>28</v>
      </c>
      <c r="F1154" s="9" t="s">
        <v>5</v>
      </c>
      <c r="G1154" s="9" t="s">
        <v>2</v>
      </c>
      <c r="H1154" s="9" t="s">
        <v>31</v>
      </c>
      <c r="I1154" s="9">
        <v>3</v>
      </c>
      <c r="J1154" s="9">
        <v>732</v>
      </c>
      <c r="K1154" s="10">
        <v>2196</v>
      </c>
      <c r="L1154" s="9">
        <f>HOUR([1]restaurant_sales_1200!$B1154)</f>
        <v>17</v>
      </c>
      <c r="M1154" s="9" t="str">
        <f t="shared" si="4"/>
        <v>Wednesday</v>
      </c>
    </row>
    <row r="1155" spans="1:13" x14ac:dyDescent="0.25">
      <c r="A1155" s="6">
        <v>2154</v>
      </c>
      <c r="B1155" s="7">
        <v>45277.035029189814</v>
      </c>
      <c r="C1155" s="7">
        <v>45277.035029189814</v>
      </c>
      <c r="D1155" s="8">
        <v>45277.035029189814</v>
      </c>
      <c r="E1155" s="9" t="s">
        <v>308</v>
      </c>
      <c r="F1155" s="9" t="s">
        <v>8</v>
      </c>
      <c r="G1155" s="9" t="s">
        <v>9</v>
      </c>
      <c r="H1155" s="9" t="s">
        <v>10</v>
      </c>
      <c r="I1155" s="9">
        <v>1</v>
      </c>
      <c r="J1155" s="9">
        <v>154</v>
      </c>
      <c r="K1155" s="10">
        <v>154</v>
      </c>
      <c r="L1155" s="9">
        <f>HOUR([1]restaurant_sales_1200!$B1155)</f>
        <v>0</v>
      </c>
      <c r="M1155" s="9" t="str">
        <f t="shared" si="4"/>
        <v>Thursday</v>
      </c>
    </row>
    <row r="1156" spans="1:13" x14ac:dyDescent="0.25">
      <c r="A1156" s="6">
        <v>2155</v>
      </c>
      <c r="B1156" s="7">
        <v>45277.338615509259</v>
      </c>
      <c r="C1156" s="7">
        <v>45277.338615509259</v>
      </c>
      <c r="D1156" s="8">
        <v>45277.338615509259</v>
      </c>
      <c r="E1156" s="9" t="s">
        <v>308</v>
      </c>
      <c r="F1156" s="9" t="s">
        <v>1</v>
      </c>
      <c r="G1156" s="9" t="s">
        <v>15</v>
      </c>
      <c r="H1156" s="9" t="s">
        <v>13</v>
      </c>
      <c r="I1156" s="9">
        <v>2</v>
      </c>
      <c r="J1156" s="9">
        <v>111</v>
      </c>
      <c r="K1156" s="10">
        <v>222</v>
      </c>
      <c r="L1156" s="9">
        <f>HOUR([1]restaurant_sales_1200!$B1156)</f>
        <v>8</v>
      </c>
      <c r="M1156" s="9" t="str">
        <f t="shared" si="4"/>
        <v>Friday</v>
      </c>
    </row>
    <row r="1157" spans="1:13" x14ac:dyDescent="0.25">
      <c r="A1157" s="6">
        <v>2156</v>
      </c>
      <c r="B1157" s="7">
        <v>45277.642201840281</v>
      </c>
      <c r="C1157" s="7">
        <v>45277.642201840281</v>
      </c>
      <c r="D1157" s="8">
        <v>45277.642201840281</v>
      </c>
      <c r="E1157" s="9" t="s">
        <v>195</v>
      </c>
      <c r="F1157" s="9" t="s">
        <v>19</v>
      </c>
      <c r="G1157" s="9" t="s">
        <v>6</v>
      </c>
      <c r="H1157" s="9" t="s">
        <v>31</v>
      </c>
      <c r="I1157" s="9">
        <v>3</v>
      </c>
      <c r="J1157" s="9">
        <v>756</v>
      </c>
      <c r="K1157" s="10">
        <v>2268</v>
      </c>
      <c r="L1157" s="9">
        <f>HOUR([1]restaurant_sales_1200!$B1157)</f>
        <v>15</v>
      </c>
      <c r="M1157" s="9" t="str">
        <f t="shared" si="4"/>
        <v>Saturday</v>
      </c>
    </row>
    <row r="1158" spans="1:13" x14ac:dyDescent="0.25">
      <c r="A1158" s="6">
        <v>2157</v>
      </c>
      <c r="B1158" s="7">
        <v>45277.945788159719</v>
      </c>
      <c r="C1158" s="7">
        <v>45277.945788159719</v>
      </c>
      <c r="D1158" s="8">
        <v>45277.945788159719</v>
      </c>
      <c r="E1158" s="9" t="s">
        <v>61</v>
      </c>
      <c r="F1158" s="9" t="s">
        <v>5</v>
      </c>
      <c r="G1158" s="9" t="s">
        <v>15</v>
      </c>
      <c r="H1158" s="9" t="s">
        <v>24</v>
      </c>
      <c r="I1158" s="9">
        <v>1</v>
      </c>
      <c r="J1158" s="9">
        <v>499</v>
      </c>
      <c r="K1158" s="10">
        <v>499</v>
      </c>
      <c r="L1158" s="9">
        <f>HOUR([1]restaurant_sales_1200!$B1158)</f>
        <v>22</v>
      </c>
      <c r="M1158" s="9" t="str">
        <f t="shared" si="4"/>
        <v>Sunday</v>
      </c>
    </row>
    <row r="1159" spans="1:13" x14ac:dyDescent="0.25">
      <c r="A1159" s="6">
        <v>2158</v>
      </c>
      <c r="B1159" s="7">
        <v>45278.249374479165</v>
      </c>
      <c r="C1159" s="7">
        <v>45278.249374479165</v>
      </c>
      <c r="D1159" s="8">
        <v>45278.249374479165</v>
      </c>
      <c r="E1159" s="9" t="s">
        <v>171</v>
      </c>
      <c r="F1159" s="9" t="s">
        <v>1</v>
      </c>
      <c r="G1159" s="9" t="s">
        <v>15</v>
      </c>
      <c r="H1159" s="9" t="s">
        <v>47</v>
      </c>
      <c r="I1159" s="9">
        <v>1</v>
      </c>
      <c r="J1159" s="9">
        <v>747</v>
      </c>
      <c r="K1159" s="10">
        <v>747</v>
      </c>
      <c r="L1159" s="9">
        <f>HOUR([1]restaurant_sales_1200!$B1159)</f>
        <v>5</v>
      </c>
      <c r="M1159" s="9" t="str">
        <f t="shared" si="4"/>
        <v>Monday</v>
      </c>
    </row>
    <row r="1160" spans="1:13" x14ac:dyDescent="0.25">
      <c r="A1160" s="6">
        <v>2159</v>
      </c>
      <c r="B1160" s="7">
        <v>45278.55296079861</v>
      </c>
      <c r="C1160" s="7">
        <v>45278.55296079861</v>
      </c>
      <c r="D1160" s="8">
        <v>45278.55296079861</v>
      </c>
      <c r="E1160" s="9" t="s">
        <v>280</v>
      </c>
      <c r="F1160" s="9" t="s">
        <v>1</v>
      </c>
      <c r="G1160" s="9" t="s">
        <v>2</v>
      </c>
      <c r="H1160" s="9" t="s">
        <v>16</v>
      </c>
      <c r="I1160" s="9">
        <v>2</v>
      </c>
      <c r="J1160" s="9">
        <v>614</v>
      </c>
      <c r="K1160" s="10">
        <v>1228</v>
      </c>
      <c r="L1160" s="9">
        <f>HOUR([1]restaurant_sales_1200!$B1160)</f>
        <v>13</v>
      </c>
      <c r="M1160" s="9" t="str">
        <f t="shared" si="4"/>
        <v>Tuesday</v>
      </c>
    </row>
    <row r="1161" spans="1:13" x14ac:dyDescent="0.25">
      <c r="A1161" s="6">
        <v>2160</v>
      </c>
      <c r="B1161" s="7">
        <v>45278.856547118055</v>
      </c>
      <c r="C1161" s="7">
        <v>45278.856547118055</v>
      </c>
      <c r="D1161" s="8">
        <v>45278.856547118055</v>
      </c>
      <c r="E1161" s="9" t="s">
        <v>208</v>
      </c>
      <c r="F1161" s="9" t="s">
        <v>19</v>
      </c>
      <c r="G1161" s="9" t="s">
        <v>30</v>
      </c>
      <c r="H1161" s="9" t="s">
        <v>13</v>
      </c>
      <c r="I1161" s="9">
        <v>5</v>
      </c>
      <c r="J1161" s="9">
        <v>755</v>
      </c>
      <c r="K1161" s="10">
        <v>3775</v>
      </c>
      <c r="L1161" s="9">
        <f>HOUR([1]restaurant_sales_1200!$B1161)</f>
        <v>20</v>
      </c>
      <c r="M1161" s="9" t="str">
        <f t="shared" si="4"/>
        <v>Wednesday</v>
      </c>
    </row>
    <row r="1162" spans="1:13" x14ac:dyDescent="0.25">
      <c r="A1162" s="6">
        <v>2161</v>
      </c>
      <c r="B1162" s="7">
        <v>45279.160133449077</v>
      </c>
      <c r="C1162" s="7">
        <v>45279.160133449077</v>
      </c>
      <c r="D1162" s="8">
        <v>45279.160133449077</v>
      </c>
      <c r="E1162" s="9" t="s">
        <v>50</v>
      </c>
      <c r="F1162" s="9" t="s">
        <v>5</v>
      </c>
      <c r="G1162" s="9" t="s">
        <v>2</v>
      </c>
      <c r="H1162" s="9" t="s">
        <v>13</v>
      </c>
      <c r="I1162" s="9">
        <v>1</v>
      </c>
      <c r="J1162" s="9">
        <v>641</v>
      </c>
      <c r="K1162" s="10">
        <v>641</v>
      </c>
      <c r="L1162" s="9">
        <f>HOUR([1]restaurant_sales_1200!$B1162)</f>
        <v>3</v>
      </c>
      <c r="M1162" s="9" t="str">
        <f t="shared" si="4"/>
        <v>Thursday</v>
      </c>
    </row>
    <row r="1163" spans="1:13" x14ac:dyDescent="0.25">
      <c r="A1163" s="6">
        <v>2162</v>
      </c>
      <c r="B1163" s="7">
        <v>45279.463719768515</v>
      </c>
      <c r="C1163" s="7">
        <v>45279.463719768515</v>
      </c>
      <c r="D1163" s="8">
        <v>45279.463719768515</v>
      </c>
      <c r="E1163" s="9" t="s">
        <v>172</v>
      </c>
      <c r="F1163" s="9" t="s">
        <v>8</v>
      </c>
      <c r="G1163" s="9" t="s">
        <v>9</v>
      </c>
      <c r="H1163" s="9" t="s">
        <v>20</v>
      </c>
      <c r="I1163" s="9">
        <v>1</v>
      </c>
      <c r="J1163" s="9">
        <v>336</v>
      </c>
      <c r="K1163" s="10">
        <v>336</v>
      </c>
      <c r="L1163" s="9">
        <f>HOUR([1]restaurant_sales_1200!$B1163)</f>
        <v>11</v>
      </c>
      <c r="M1163" s="9" t="str">
        <f t="shared" si="4"/>
        <v>Friday</v>
      </c>
    </row>
    <row r="1164" spans="1:13" x14ac:dyDescent="0.25">
      <c r="A1164" s="6">
        <v>2163</v>
      </c>
      <c r="B1164" s="7">
        <v>45279.767306087961</v>
      </c>
      <c r="C1164" s="7">
        <v>45279.767306087961</v>
      </c>
      <c r="D1164" s="8">
        <v>45279.767306087961</v>
      </c>
      <c r="E1164" s="9" t="s">
        <v>282</v>
      </c>
      <c r="F1164" s="9" t="s">
        <v>5</v>
      </c>
      <c r="G1164" s="9" t="s">
        <v>9</v>
      </c>
      <c r="H1164" s="9" t="s">
        <v>26</v>
      </c>
      <c r="I1164" s="9">
        <v>3</v>
      </c>
      <c r="J1164" s="9">
        <v>378</v>
      </c>
      <c r="K1164" s="10">
        <v>1134</v>
      </c>
      <c r="L1164" s="9">
        <f>HOUR([1]restaurant_sales_1200!$B1164)</f>
        <v>18</v>
      </c>
      <c r="M1164" s="9" t="str">
        <f t="shared" si="4"/>
        <v>Saturday</v>
      </c>
    </row>
    <row r="1165" spans="1:13" x14ac:dyDescent="0.25">
      <c r="A1165" s="6">
        <v>2164</v>
      </c>
      <c r="B1165" s="7">
        <v>45280.070892407406</v>
      </c>
      <c r="C1165" s="7">
        <v>45280.070892407406</v>
      </c>
      <c r="D1165" s="8">
        <v>45280.070892407406</v>
      </c>
      <c r="E1165" s="9" t="s">
        <v>217</v>
      </c>
      <c r="F1165" s="9" t="s">
        <v>8</v>
      </c>
      <c r="G1165" s="9" t="s">
        <v>6</v>
      </c>
      <c r="H1165" s="9" t="s">
        <v>3</v>
      </c>
      <c r="I1165" s="9">
        <v>4</v>
      </c>
      <c r="J1165" s="9">
        <v>447</v>
      </c>
      <c r="K1165" s="10">
        <v>1788</v>
      </c>
      <c r="L1165" s="9">
        <f>HOUR([1]restaurant_sales_1200!$B1165)</f>
        <v>1</v>
      </c>
      <c r="M1165" s="9" t="str">
        <f t="shared" si="4"/>
        <v>Sunday</v>
      </c>
    </row>
    <row r="1166" spans="1:13" x14ac:dyDescent="0.25">
      <c r="A1166" s="6">
        <v>2165</v>
      </c>
      <c r="B1166" s="7">
        <v>45280.374478726852</v>
      </c>
      <c r="C1166" s="7">
        <v>45280.374478726852</v>
      </c>
      <c r="D1166" s="8">
        <v>45280.374478726852</v>
      </c>
      <c r="E1166" s="9" t="s">
        <v>166</v>
      </c>
      <c r="F1166" s="9" t="s">
        <v>19</v>
      </c>
      <c r="G1166" s="9" t="s">
        <v>15</v>
      </c>
      <c r="H1166" s="9" t="s">
        <v>47</v>
      </c>
      <c r="I1166" s="9">
        <v>2</v>
      </c>
      <c r="J1166" s="9">
        <v>726</v>
      </c>
      <c r="K1166" s="10">
        <v>1452</v>
      </c>
      <c r="L1166" s="9">
        <f>HOUR([1]restaurant_sales_1200!$B1166)</f>
        <v>8</v>
      </c>
      <c r="M1166" s="9" t="str">
        <f t="shared" si="4"/>
        <v>Monday</v>
      </c>
    </row>
    <row r="1167" spans="1:13" x14ac:dyDescent="0.25">
      <c r="A1167" s="6">
        <v>2166</v>
      </c>
      <c r="B1167" s="7">
        <v>45280.678065057873</v>
      </c>
      <c r="C1167" s="7">
        <v>45280.678065057873</v>
      </c>
      <c r="D1167" s="8">
        <v>45280.678065057873</v>
      </c>
      <c r="E1167" s="9" t="s">
        <v>263</v>
      </c>
      <c r="F1167" s="9" t="s">
        <v>19</v>
      </c>
      <c r="G1167" s="9" t="s">
        <v>2</v>
      </c>
      <c r="H1167" s="9" t="s">
        <v>20</v>
      </c>
      <c r="I1167" s="9">
        <v>2</v>
      </c>
      <c r="J1167" s="9">
        <v>203</v>
      </c>
      <c r="K1167" s="10">
        <v>406</v>
      </c>
      <c r="L1167" s="9">
        <f>HOUR([1]restaurant_sales_1200!$B1167)</f>
        <v>16</v>
      </c>
      <c r="M1167" s="9" t="str">
        <f t="shared" si="4"/>
        <v>Tuesday</v>
      </c>
    </row>
    <row r="1168" spans="1:13" x14ac:dyDescent="0.25">
      <c r="A1168" s="6">
        <v>2167</v>
      </c>
      <c r="B1168" s="7">
        <v>45280.981651377311</v>
      </c>
      <c r="C1168" s="7">
        <v>45280.981651377311</v>
      </c>
      <c r="D1168" s="8">
        <v>45280.981651377311</v>
      </c>
      <c r="E1168" s="9" t="s">
        <v>69</v>
      </c>
      <c r="F1168" s="9" t="s">
        <v>1</v>
      </c>
      <c r="G1168" s="9" t="s">
        <v>30</v>
      </c>
      <c r="H1168" s="9" t="s">
        <v>16</v>
      </c>
      <c r="I1168" s="9">
        <v>5</v>
      </c>
      <c r="J1168" s="9">
        <v>729</v>
      </c>
      <c r="K1168" s="10">
        <v>3645</v>
      </c>
      <c r="L1168" s="9">
        <f>HOUR([1]restaurant_sales_1200!$B1168)</f>
        <v>23</v>
      </c>
      <c r="M1168" s="9" t="str">
        <f t="shared" si="4"/>
        <v>Wednesday</v>
      </c>
    </row>
    <row r="1169" spans="1:13" x14ac:dyDescent="0.25">
      <c r="A1169" s="6">
        <v>2168</v>
      </c>
      <c r="B1169" s="7">
        <v>45281.285237696757</v>
      </c>
      <c r="C1169" s="7">
        <v>45281.285237696757</v>
      </c>
      <c r="D1169" s="8">
        <v>45281.285237696757</v>
      </c>
      <c r="E1169" s="9" t="s">
        <v>105</v>
      </c>
      <c r="F1169" s="9" t="s">
        <v>1</v>
      </c>
      <c r="G1169" s="9" t="s">
        <v>2</v>
      </c>
      <c r="H1169" s="9" t="s">
        <v>20</v>
      </c>
      <c r="I1169" s="9">
        <v>5</v>
      </c>
      <c r="J1169" s="9">
        <v>616</v>
      </c>
      <c r="K1169" s="10">
        <v>3080</v>
      </c>
      <c r="L1169" s="9">
        <f>HOUR([1]restaurant_sales_1200!$B1169)</f>
        <v>6</v>
      </c>
      <c r="M1169" s="9" t="str">
        <f t="shared" si="4"/>
        <v>Thursday</v>
      </c>
    </row>
    <row r="1170" spans="1:13" x14ac:dyDescent="0.25">
      <c r="A1170" s="6">
        <v>2169</v>
      </c>
      <c r="B1170" s="7">
        <v>45281.588824016202</v>
      </c>
      <c r="C1170" s="7">
        <v>45281.588824016202</v>
      </c>
      <c r="D1170" s="8">
        <v>45281.588824016202</v>
      </c>
      <c r="E1170" s="9" t="s">
        <v>89</v>
      </c>
      <c r="F1170" s="9" t="s">
        <v>1</v>
      </c>
      <c r="G1170" s="9" t="s">
        <v>6</v>
      </c>
      <c r="H1170" s="9" t="s">
        <v>20</v>
      </c>
      <c r="I1170" s="9">
        <v>2</v>
      </c>
      <c r="J1170" s="9">
        <v>971</v>
      </c>
      <c r="K1170" s="10">
        <v>1942</v>
      </c>
      <c r="L1170" s="9">
        <f>HOUR([1]restaurant_sales_1200!$B1170)</f>
        <v>14</v>
      </c>
      <c r="M1170" s="9" t="str">
        <f t="shared" si="4"/>
        <v>Friday</v>
      </c>
    </row>
    <row r="1171" spans="1:13" x14ac:dyDescent="0.25">
      <c r="A1171" s="6">
        <v>2170</v>
      </c>
      <c r="B1171" s="7">
        <v>45281.892410347224</v>
      </c>
      <c r="C1171" s="7">
        <v>45281.892410347224</v>
      </c>
      <c r="D1171" s="8">
        <v>45281.892410347224</v>
      </c>
      <c r="E1171" s="9" t="s">
        <v>154</v>
      </c>
      <c r="F1171" s="9" t="s">
        <v>19</v>
      </c>
      <c r="G1171" s="9" t="s">
        <v>2</v>
      </c>
      <c r="H1171" s="9" t="s">
        <v>20</v>
      </c>
      <c r="I1171" s="9">
        <v>5</v>
      </c>
      <c r="J1171" s="9">
        <v>347</v>
      </c>
      <c r="K1171" s="10">
        <v>1735</v>
      </c>
      <c r="L1171" s="9">
        <f>HOUR([1]restaurant_sales_1200!$B1171)</f>
        <v>21</v>
      </c>
      <c r="M1171" s="9" t="str">
        <f t="shared" si="4"/>
        <v>Saturday</v>
      </c>
    </row>
    <row r="1172" spans="1:13" x14ac:dyDescent="0.25">
      <c r="A1172" s="6">
        <v>2171</v>
      </c>
      <c r="B1172" s="7">
        <v>45282.195996666669</v>
      </c>
      <c r="C1172" s="7">
        <v>45282.195996666669</v>
      </c>
      <c r="D1172" s="8">
        <v>45282.195996666669</v>
      </c>
      <c r="E1172" s="9" t="s">
        <v>179</v>
      </c>
      <c r="F1172" s="9" t="s">
        <v>8</v>
      </c>
      <c r="G1172" s="9" t="s">
        <v>30</v>
      </c>
      <c r="H1172" s="9" t="s">
        <v>3</v>
      </c>
      <c r="I1172" s="9">
        <v>3</v>
      </c>
      <c r="J1172" s="9">
        <v>463</v>
      </c>
      <c r="K1172" s="10">
        <v>1389</v>
      </c>
      <c r="L1172" s="9">
        <f>HOUR([1]restaurant_sales_1200!$B1172)</f>
        <v>4</v>
      </c>
      <c r="M1172" s="9" t="str">
        <f t="shared" si="4"/>
        <v>Sunday</v>
      </c>
    </row>
    <row r="1173" spans="1:13" x14ac:dyDescent="0.25">
      <c r="A1173" s="6">
        <v>2172</v>
      </c>
      <c r="B1173" s="7">
        <v>45282.499582986115</v>
      </c>
      <c r="C1173" s="7">
        <v>45282.499582986115</v>
      </c>
      <c r="D1173" s="8">
        <v>45282.499582986115</v>
      </c>
      <c r="E1173" s="9" t="s">
        <v>218</v>
      </c>
      <c r="F1173" s="9" t="s">
        <v>19</v>
      </c>
      <c r="G1173" s="9" t="s">
        <v>30</v>
      </c>
      <c r="H1173" s="9" t="s">
        <v>20</v>
      </c>
      <c r="I1173" s="9">
        <v>2</v>
      </c>
      <c r="J1173" s="9">
        <v>420</v>
      </c>
      <c r="K1173" s="10">
        <v>840</v>
      </c>
      <c r="L1173" s="9">
        <f>HOUR([1]restaurant_sales_1200!$B1173)</f>
        <v>11</v>
      </c>
      <c r="M1173" s="9" t="str">
        <f t="shared" si="4"/>
        <v>Monday</v>
      </c>
    </row>
    <row r="1174" spans="1:13" x14ac:dyDescent="0.25">
      <c r="A1174" s="6">
        <v>2173</v>
      </c>
      <c r="B1174" s="7">
        <v>45282.803169305553</v>
      </c>
      <c r="C1174" s="7">
        <v>45282.803169305553</v>
      </c>
      <c r="D1174" s="8">
        <v>45282.803169305553</v>
      </c>
      <c r="E1174" s="9" t="s">
        <v>164</v>
      </c>
      <c r="F1174" s="9" t="s">
        <v>19</v>
      </c>
      <c r="G1174" s="9" t="s">
        <v>15</v>
      </c>
      <c r="H1174" s="9" t="s">
        <v>20</v>
      </c>
      <c r="I1174" s="9">
        <v>5</v>
      </c>
      <c r="J1174" s="9">
        <v>732</v>
      </c>
      <c r="K1174" s="10">
        <v>3660</v>
      </c>
      <c r="L1174" s="9">
        <f>HOUR([1]restaurant_sales_1200!$B1174)</f>
        <v>19</v>
      </c>
      <c r="M1174" s="9" t="str">
        <f t="shared" si="4"/>
        <v>Tuesday</v>
      </c>
    </row>
    <row r="1175" spans="1:13" x14ac:dyDescent="0.25">
      <c r="A1175" s="6">
        <v>2174</v>
      </c>
      <c r="B1175" s="7">
        <v>45283.106755624998</v>
      </c>
      <c r="C1175" s="7">
        <v>45283.106755624998</v>
      </c>
      <c r="D1175" s="8">
        <v>45283.106755624998</v>
      </c>
      <c r="E1175" s="9" t="s">
        <v>141</v>
      </c>
      <c r="F1175" s="9" t="s">
        <v>1</v>
      </c>
      <c r="G1175" s="9" t="s">
        <v>15</v>
      </c>
      <c r="H1175" s="9" t="s">
        <v>20</v>
      </c>
      <c r="I1175" s="9">
        <v>2</v>
      </c>
      <c r="J1175" s="9">
        <v>385</v>
      </c>
      <c r="K1175" s="10">
        <v>770</v>
      </c>
      <c r="L1175" s="9">
        <f>HOUR([1]restaurant_sales_1200!$B1175)</f>
        <v>2</v>
      </c>
      <c r="M1175" s="9" t="str">
        <f t="shared" si="4"/>
        <v>Wednesday</v>
      </c>
    </row>
    <row r="1176" spans="1:13" x14ac:dyDescent="0.25">
      <c r="A1176" s="6">
        <v>2175</v>
      </c>
      <c r="B1176" s="7">
        <v>45283.41034195602</v>
      </c>
      <c r="C1176" s="7">
        <v>45283.41034195602</v>
      </c>
      <c r="D1176" s="8">
        <v>45283.41034195602</v>
      </c>
      <c r="E1176" s="9" t="s">
        <v>198</v>
      </c>
      <c r="F1176" s="9" t="s">
        <v>5</v>
      </c>
      <c r="G1176" s="9" t="s">
        <v>6</v>
      </c>
      <c r="H1176" s="9" t="s">
        <v>20</v>
      </c>
      <c r="I1176" s="9">
        <v>4</v>
      </c>
      <c r="J1176" s="9">
        <v>248</v>
      </c>
      <c r="K1176" s="10">
        <v>992</v>
      </c>
      <c r="L1176" s="9">
        <f>HOUR([1]restaurant_sales_1200!$B1176)</f>
        <v>9</v>
      </c>
      <c r="M1176" s="9" t="str">
        <f t="shared" si="4"/>
        <v>Thursday</v>
      </c>
    </row>
    <row r="1177" spans="1:13" x14ac:dyDescent="0.25">
      <c r="A1177" s="6">
        <v>2176</v>
      </c>
      <c r="B1177" s="7">
        <v>45283.713928275465</v>
      </c>
      <c r="C1177" s="7">
        <v>45283.713928275465</v>
      </c>
      <c r="D1177" s="8">
        <v>45283.713928275465</v>
      </c>
      <c r="E1177" s="9" t="s">
        <v>273</v>
      </c>
      <c r="F1177" s="9" t="s">
        <v>1</v>
      </c>
      <c r="G1177" s="9" t="s">
        <v>15</v>
      </c>
      <c r="H1177" s="9" t="s">
        <v>26</v>
      </c>
      <c r="I1177" s="9">
        <v>1</v>
      </c>
      <c r="J1177" s="9">
        <v>183</v>
      </c>
      <c r="K1177" s="10">
        <v>183</v>
      </c>
      <c r="L1177" s="9">
        <f>HOUR([1]restaurant_sales_1200!$B1177)</f>
        <v>17</v>
      </c>
      <c r="M1177" s="9" t="str">
        <f t="shared" si="4"/>
        <v>Friday</v>
      </c>
    </row>
    <row r="1178" spans="1:13" x14ac:dyDescent="0.25">
      <c r="A1178" s="6">
        <v>2177</v>
      </c>
      <c r="B1178" s="7">
        <v>45284.017514594911</v>
      </c>
      <c r="C1178" s="7">
        <v>45284.017514594911</v>
      </c>
      <c r="D1178" s="8">
        <v>45284.017514594911</v>
      </c>
      <c r="E1178" s="9" t="s">
        <v>64</v>
      </c>
      <c r="F1178" s="9" t="s">
        <v>5</v>
      </c>
      <c r="G1178" s="9" t="s">
        <v>9</v>
      </c>
      <c r="H1178" s="9" t="s">
        <v>13</v>
      </c>
      <c r="I1178" s="9">
        <v>2</v>
      </c>
      <c r="J1178" s="9">
        <v>505</v>
      </c>
      <c r="K1178" s="10">
        <v>1010</v>
      </c>
      <c r="L1178" s="9">
        <f>HOUR([1]restaurant_sales_1200!$B1178)</f>
        <v>0</v>
      </c>
      <c r="M1178" s="9" t="str">
        <f t="shared" si="4"/>
        <v>Saturday</v>
      </c>
    </row>
    <row r="1179" spans="1:13" x14ac:dyDescent="0.25">
      <c r="A1179" s="6">
        <v>2178</v>
      </c>
      <c r="B1179" s="7">
        <v>45284.321100914349</v>
      </c>
      <c r="C1179" s="7">
        <v>45284.321100914349</v>
      </c>
      <c r="D1179" s="8">
        <v>45284.321100914349</v>
      </c>
      <c r="E1179" s="9" t="s">
        <v>115</v>
      </c>
      <c r="F1179" s="9" t="s">
        <v>8</v>
      </c>
      <c r="G1179" s="9" t="s">
        <v>15</v>
      </c>
      <c r="H1179" s="9" t="s">
        <v>47</v>
      </c>
      <c r="I1179" s="9">
        <v>1</v>
      </c>
      <c r="J1179" s="9">
        <v>555</v>
      </c>
      <c r="K1179" s="10">
        <v>555</v>
      </c>
      <c r="L1179" s="9">
        <f>HOUR([1]restaurant_sales_1200!$B1179)</f>
        <v>7</v>
      </c>
      <c r="M1179" s="9" t="str">
        <f t="shared" si="4"/>
        <v>Sunday</v>
      </c>
    </row>
    <row r="1180" spans="1:13" x14ac:dyDescent="0.25">
      <c r="A1180" s="6">
        <v>2179</v>
      </c>
      <c r="B1180" s="7">
        <v>45284.624687233794</v>
      </c>
      <c r="C1180" s="7">
        <v>45284.624687233794</v>
      </c>
      <c r="D1180" s="8">
        <v>45284.624687233794</v>
      </c>
      <c r="E1180" s="9" t="s">
        <v>298</v>
      </c>
      <c r="F1180" s="9" t="s">
        <v>8</v>
      </c>
      <c r="G1180" s="9" t="s">
        <v>9</v>
      </c>
      <c r="H1180" s="9" t="s">
        <v>31</v>
      </c>
      <c r="I1180" s="9">
        <v>5</v>
      </c>
      <c r="J1180" s="9">
        <v>842</v>
      </c>
      <c r="K1180" s="10">
        <v>4210</v>
      </c>
      <c r="L1180" s="9">
        <f>HOUR([1]restaurant_sales_1200!$B1180)</f>
        <v>14</v>
      </c>
      <c r="M1180" s="9" t="str">
        <f t="shared" si="4"/>
        <v>Monday</v>
      </c>
    </row>
    <row r="1181" spans="1:13" x14ac:dyDescent="0.25">
      <c r="A1181" s="6">
        <v>2180</v>
      </c>
      <c r="B1181" s="7">
        <v>45284.928273564816</v>
      </c>
      <c r="C1181" s="7">
        <v>45284.928273564816</v>
      </c>
      <c r="D1181" s="8">
        <v>45284.928273564816</v>
      </c>
      <c r="E1181" s="9" t="s">
        <v>45</v>
      </c>
      <c r="F1181" s="9" t="s">
        <v>8</v>
      </c>
      <c r="G1181" s="9" t="s">
        <v>2</v>
      </c>
      <c r="H1181" s="9" t="s">
        <v>31</v>
      </c>
      <c r="I1181" s="9">
        <v>1</v>
      </c>
      <c r="J1181" s="9">
        <v>899</v>
      </c>
      <c r="K1181" s="10">
        <v>899</v>
      </c>
      <c r="L1181" s="9">
        <f>HOUR([1]restaurant_sales_1200!$B1181)</f>
        <v>22</v>
      </c>
      <c r="M1181" s="9" t="str">
        <f t="shared" si="4"/>
        <v>Tuesday</v>
      </c>
    </row>
    <row r="1182" spans="1:13" x14ac:dyDescent="0.25">
      <c r="A1182" s="6">
        <v>2181</v>
      </c>
      <c r="B1182" s="7">
        <v>45285.231859884261</v>
      </c>
      <c r="C1182" s="7">
        <v>45285.231859884261</v>
      </c>
      <c r="D1182" s="8">
        <v>45285.231859884261</v>
      </c>
      <c r="E1182" s="9" t="s">
        <v>29</v>
      </c>
      <c r="F1182" s="9" t="s">
        <v>1</v>
      </c>
      <c r="G1182" s="9" t="s">
        <v>9</v>
      </c>
      <c r="H1182" s="9" t="s">
        <v>31</v>
      </c>
      <c r="I1182" s="9">
        <v>2</v>
      </c>
      <c r="J1182" s="9">
        <v>260</v>
      </c>
      <c r="K1182" s="10">
        <v>520</v>
      </c>
      <c r="L1182" s="9">
        <f>HOUR([1]restaurant_sales_1200!$B1182)</f>
        <v>5</v>
      </c>
      <c r="M1182" s="9" t="str">
        <f t="shared" si="4"/>
        <v>Wednesday</v>
      </c>
    </row>
    <row r="1183" spans="1:13" x14ac:dyDescent="0.25">
      <c r="A1183" s="6">
        <v>2182</v>
      </c>
      <c r="B1183" s="7">
        <v>45285.535446203707</v>
      </c>
      <c r="C1183" s="7">
        <v>45285.535446203707</v>
      </c>
      <c r="D1183" s="8">
        <v>45285.535446203707</v>
      </c>
      <c r="E1183" s="9" t="s">
        <v>233</v>
      </c>
      <c r="F1183" s="9" t="s">
        <v>1</v>
      </c>
      <c r="G1183" s="9" t="s">
        <v>6</v>
      </c>
      <c r="H1183" s="9" t="s">
        <v>16</v>
      </c>
      <c r="I1183" s="9">
        <v>4</v>
      </c>
      <c r="J1183" s="9">
        <v>883</v>
      </c>
      <c r="K1183" s="10">
        <v>3532</v>
      </c>
      <c r="L1183" s="9">
        <f>HOUR([1]restaurant_sales_1200!$B1183)</f>
        <v>12</v>
      </c>
      <c r="M1183" s="9" t="str">
        <f t="shared" si="4"/>
        <v>Thursday</v>
      </c>
    </row>
    <row r="1184" spans="1:13" x14ac:dyDescent="0.25">
      <c r="A1184" s="6">
        <v>2183</v>
      </c>
      <c r="B1184" s="7">
        <v>45285.839032523145</v>
      </c>
      <c r="C1184" s="7">
        <v>45285.839032523145</v>
      </c>
      <c r="D1184" s="8">
        <v>45285.839032523145</v>
      </c>
      <c r="E1184" s="9" t="s">
        <v>223</v>
      </c>
      <c r="F1184" s="9" t="s">
        <v>1</v>
      </c>
      <c r="G1184" s="9" t="s">
        <v>30</v>
      </c>
      <c r="H1184" s="9" t="s">
        <v>26</v>
      </c>
      <c r="I1184" s="9">
        <v>5</v>
      </c>
      <c r="J1184" s="9">
        <v>559</v>
      </c>
      <c r="K1184" s="10">
        <v>2795</v>
      </c>
      <c r="L1184" s="9">
        <f>HOUR([1]restaurant_sales_1200!$B1184)</f>
        <v>20</v>
      </c>
      <c r="M1184" s="9" t="str">
        <f t="shared" si="4"/>
        <v>Friday</v>
      </c>
    </row>
    <row r="1185" spans="1:13" x14ac:dyDescent="0.25">
      <c r="A1185" s="6">
        <v>2184</v>
      </c>
      <c r="B1185" s="7">
        <v>45286.142618854166</v>
      </c>
      <c r="C1185" s="7">
        <v>45286.142618854166</v>
      </c>
      <c r="D1185" s="8">
        <v>45286.142618854166</v>
      </c>
      <c r="E1185" s="9" t="s">
        <v>120</v>
      </c>
      <c r="F1185" s="9" t="s">
        <v>19</v>
      </c>
      <c r="G1185" s="9" t="s">
        <v>6</v>
      </c>
      <c r="H1185" s="9" t="s">
        <v>33</v>
      </c>
      <c r="I1185" s="9">
        <v>2</v>
      </c>
      <c r="J1185" s="9">
        <v>649</v>
      </c>
      <c r="K1185" s="10">
        <v>1298</v>
      </c>
      <c r="L1185" s="9">
        <f>HOUR([1]restaurant_sales_1200!$B1185)</f>
        <v>3</v>
      </c>
      <c r="M1185" s="9" t="str">
        <f t="shared" si="4"/>
        <v>Saturday</v>
      </c>
    </row>
    <row r="1186" spans="1:13" x14ac:dyDescent="0.25">
      <c r="A1186" s="6">
        <v>2185</v>
      </c>
      <c r="B1186" s="7">
        <v>45286.446205173612</v>
      </c>
      <c r="C1186" s="7">
        <v>45286.446205173612</v>
      </c>
      <c r="D1186" s="8">
        <v>45286.446205173612</v>
      </c>
      <c r="E1186" s="9" t="s">
        <v>217</v>
      </c>
      <c r="F1186" s="9" t="s">
        <v>1</v>
      </c>
      <c r="G1186" s="9" t="s">
        <v>6</v>
      </c>
      <c r="H1186" s="9" t="s">
        <v>24</v>
      </c>
      <c r="I1186" s="9">
        <v>5</v>
      </c>
      <c r="J1186" s="9">
        <v>599</v>
      </c>
      <c r="K1186" s="10">
        <v>2995</v>
      </c>
      <c r="L1186" s="9">
        <f>HOUR([1]restaurant_sales_1200!$B1186)</f>
        <v>10</v>
      </c>
      <c r="M1186" s="9" t="str">
        <f t="shared" si="4"/>
        <v>Sunday</v>
      </c>
    </row>
    <row r="1187" spans="1:13" x14ac:dyDescent="0.25">
      <c r="A1187" s="6">
        <v>2186</v>
      </c>
      <c r="B1187" s="7">
        <v>45286.749791493057</v>
      </c>
      <c r="C1187" s="7">
        <v>45286.749791493057</v>
      </c>
      <c r="D1187" s="8">
        <v>45286.749791493057</v>
      </c>
      <c r="E1187" s="9" t="s">
        <v>306</v>
      </c>
      <c r="F1187" s="9" t="s">
        <v>19</v>
      </c>
      <c r="G1187" s="9" t="s">
        <v>6</v>
      </c>
      <c r="H1187" s="9" t="s">
        <v>33</v>
      </c>
      <c r="I1187" s="9">
        <v>3</v>
      </c>
      <c r="J1187" s="9">
        <v>837</v>
      </c>
      <c r="K1187" s="10">
        <v>2511</v>
      </c>
      <c r="L1187" s="9">
        <f>HOUR([1]restaurant_sales_1200!$B1187)</f>
        <v>17</v>
      </c>
      <c r="M1187" s="9" t="str">
        <f t="shared" si="4"/>
        <v>Monday</v>
      </c>
    </row>
    <row r="1188" spans="1:13" x14ac:dyDescent="0.25">
      <c r="A1188" s="6">
        <v>2187</v>
      </c>
      <c r="B1188" s="7">
        <v>45287.053377812503</v>
      </c>
      <c r="C1188" s="7">
        <v>45287.053377812503</v>
      </c>
      <c r="D1188" s="8">
        <v>45287.053377812503</v>
      </c>
      <c r="E1188" s="9" t="s">
        <v>219</v>
      </c>
      <c r="F1188" s="9" t="s">
        <v>8</v>
      </c>
      <c r="G1188" s="9" t="s">
        <v>6</v>
      </c>
      <c r="H1188" s="9" t="s">
        <v>16</v>
      </c>
      <c r="I1188" s="9">
        <v>1</v>
      </c>
      <c r="J1188" s="9">
        <v>608</v>
      </c>
      <c r="K1188" s="10">
        <v>608</v>
      </c>
      <c r="L1188" s="9">
        <f>HOUR([1]restaurant_sales_1200!$B1188)</f>
        <v>1</v>
      </c>
      <c r="M1188" s="9" t="str">
        <f t="shared" si="4"/>
        <v>Tuesday</v>
      </c>
    </row>
    <row r="1189" spans="1:13" x14ac:dyDescent="0.25">
      <c r="A1189" s="6">
        <v>2188</v>
      </c>
      <c r="B1189" s="7">
        <v>45287.356964131941</v>
      </c>
      <c r="C1189" s="7">
        <v>45287.356964131941</v>
      </c>
      <c r="D1189" s="8">
        <v>45287.356964131941</v>
      </c>
      <c r="E1189" s="9" t="s">
        <v>128</v>
      </c>
      <c r="F1189" s="9" t="s">
        <v>1</v>
      </c>
      <c r="G1189" s="9" t="s">
        <v>15</v>
      </c>
      <c r="H1189" s="9" t="s">
        <v>13</v>
      </c>
      <c r="I1189" s="9">
        <v>3</v>
      </c>
      <c r="J1189" s="9">
        <v>753</v>
      </c>
      <c r="K1189" s="10">
        <v>2259</v>
      </c>
      <c r="L1189" s="9">
        <f>HOUR([1]restaurant_sales_1200!$B1189)</f>
        <v>8</v>
      </c>
      <c r="M1189" s="9" t="str">
        <f t="shared" si="4"/>
        <v>Wednesday</v>
      </c>
    </row>
    <row r="1190" spans="1:13" x14ac:dyDescent="0.25">
      <c r="A1190" s="6">
        <v>2189</v>
      </c>
      <c r="B1190" s="7">
        <v>45287.660550462962</v>
      </c>
      <c r="C1190" s="7">
        <v>45287.660550462962</v>
      </c>
      <c r="D1190" s="8">
        <v>45287.660550462962</v>
      </c>
      <c r="E1190" s="9" t="s">
        <v>114</v>
      </c>
      <c r="F1190" s="9" t="s">
        <v>19</v>
      </c>
      <c r="G1190" s="9" t="s">
        <v>2</v>
      </c>
      <c r="H1190" s="9" t="s">
        <v>26</v>
      </c>
      <c r="I1190" s="9">
        <v>2</v>
      </c>
      <c r="J1190" s="9">
        <v>903</v>
      </c>
      <c r="K1190" s="10">
        <v>1806</v>
      </c>
      <c r="L1190" s="9">
        <f>HOUR([1]restaurant_sales_1200!$B1190)</f>
        <v>15</v>
      </c>
      <c r="M1190" s="9" t="str">
        <f t="shared" si="4"/>
        <v>Thursday</v>
      </c>
    </row>
    <row r="1191" spans="1:13" x14ac:dyDescent="0.25">
      <c r="A1191" s="6">
        <v>2190</v>
      </c>
      <c r="B1191" s="7">
        <v>45287.964136782408</v>
      </c>
      <c r="C1191" s="7">
        <v>45287.964136782408</v>
      </c>
      <c r="D1191" s="8">
        <v>45287.964136782408</v>
      </c>
      <c r="E1191" s="9" t="s">
        <v>245</v>
      </c>
      <c r="F1191" s="9" t="s">
        <v>8</v>
      </c>
      <c r="G1191" s="9" t="s">
        <v>30</v>
      </c>
      <c r="H1191" s="9" t="s">
        <v>13</v>
      </c>
      <c r="I1191" s="9">
        <v>4</v>
      </c>
      <c r="J1191" s="9">
        <v>580</v>
      </c>
      <c r="K1191" s="10">
        <v>2320</v>
      </c>
      <c r="L1191" s="9">
        <f>HOUR([1]restaurant_sales_1200!$B1191)</f>
        <v>23</v>
      </c>
      <c r="M1191" s="9" t="str">
        <f t="shared" si="4"/>
        <v>Friday</v>
      </c>
    </row>
    <row r="1192" spans="1:13" x14ac:dyDescent="0.25">
      <c r="A1192" s="6">
        <v>2191</v>
      </c>
      <c r="B1192" s="7">
        <v>45288.267723101853</v>
      </c>
      <c r="C1192" s="7">
        <v>45288.267723101853</v>
      </c>
      <c r="D1192" s="8">
        <v>45288.267723101853</v>
      </c>
      <c r="E1192" s="9" t="s">
        <v>107</v>
      </c>
      <c r="F1192" s="9" t="s">
        <v>8</v>
      </c>
      <c r="G1192" s="9" t="s">
        <v>9</v>
      </c>
      <c r="H1192" s="9" t="s">
        <v>16</v>
      </c>
      <c r="I1192" s="9">
        <v>5</v>
      </c>
      <c r="J1192" s="9">
        <v>762</v>
      </c>
      <c r="K1192" s="10">
        <v>3810</v>
      </c>
      <c r="L1192" s="9">
        <f>HOUR([1]restaurant_sales_1200!$B1192)</f>
        <v>6</v>
      </c>
      <c r="M1192" s="9" t="str">
        <f t="shared" si="4"/>
        <v>Saturday</v>
      </c>
    </row>
    <row r="1193" spans="1:13" x14ac:dyDescent="0.25">
      <c r="A1193" s="6">
        <v>2192</v>
      </c>
      <c r="B1193" s="7">
        <v>45288.571309421299</v>
      </c>
      <c r="C1193" s="7">
        <v>45288.571309421299</v>
      </c>
      <c r="D1193" s="8">
        <v>45288.571309421299</v>
      </c>
      <c r="E1193" s="9" t="s">
        <v>34</v>
      </c>
      <c r="F1193" s="9" t="s">
        <v>1</v>
      </c>
      <c r="G1193" s="9" t="s">
        <v>9</v>
      </c>
      <c r="H1193" s="9" t="s">
        <v>26</v>
      </c>
      <c r="I1193" s="9">
        <v>1</v>
      </c>
      <c r="J1193" s="9">
        <v>213</v>
      </c>
      <c r="K1193" s="10">
        <v>213</v>
      </c>
      <c r="L1193" s="9">
        <f>HOUR([1]restaurant_sales_1200!$B1193)</f>
        <v>13</v>
      </c>
      <c r="M1193" s="9" t="str">
        <f t="shared" si="4"/>
        <v>Sunday</v>
      </c>
    </row>
    <row r="1194" spans="1:13" x14ac:dyDescent="0.25">
      <c r="A1194" s="6">
        <v>2193</v>
      </c>
      <c r="B1194" s="7">
        <v>45288.874895740744</v>
      </c>
      <c r="C1194" s="7">
        <v>45288.874895740744</v>
      </c>
      <c r="D1194" s="8">
        <v>45288.874895740744</v>
      </c>
      <c r="E1194" s="9" t="s">
        <v>161</v>
      </c>
      <c r="F1194" s="9" t="s">
        <v>5</v>
      </c>
      <c r="G1194" s="9" t="s">
        <v>2</v>
      </c>
      <c r="H1194" s="9" t="s">
        <v>3</v>
      </c>
      <c r="I1194" s="9">
        <v>5</v>
      </c>
      <c r="J1194" s="9">
        <v>848</v>
      </c>
      <c r="K1194" s="10">
        <v>4240</v>
      </c>
      <c r="L1194" s="9">
        <f>HOUR([1]restaurant_sales_1200!$B1194)</f>
        <v>20</v>
      </c>
      <c r="M1194" s="9" t="str">
        <f t="shared" si="4"/>
        <v>Monday</v>
      </c>
    </row>
    <row r="1195" spans="1:13" x14ac:dyDescent="0.25">
      <c r="A1195" s="6">
        <v>2194</v>
      </c>
      <c r="B1195" s="7">
        <v>45289.178482071758</v>
      </c>
      <c r="C1195" s="7">
        <v>45289.178482071758</v>
      </c>
      <c r="D1195" s="8">
        <v>45289.178482071758</v>
      </c>
      <c r="E1195" s="9" t="s">
        <v>180</v>
      </c>
      <c r="F1195" s="9" t="s">
        <v>5</v>
      </c>
      <c r="G1195" s="9" t="s">
        <v>6</v>
      </c>
      <c r="H1195" s="9" t="s">
        <v>16</v>
      </c>
      <c r="I1195" s="9">
        <v>2</v>
      </c>
      <c r="J1195" s="9">
        <v>677</v>
      </c>
      <c r="K1195" s="10">
        <v>1354</v>
      </c>
      <c r="L1195" s="9">
        <f>HOUR([1]restaurant_sales_1200!$B1195)</f>
        <v>4</v>
      </c>
      <c r="M1195" s="9" t="str">
        <f t="shared" si="4"/>
        <v>Tuesday</v>
      </c>
    </row>
    <row r="1196" spans="1:13" x14ac:dyDescent="0.25">
      <c r="A1196" s="6">
        <v>2195</v>
      </c>
      <c r="B1196" s="7">
        <v>45289.482068391204</v>
      </c>
      <c r="C1196" s="7">
        <v>45289.482068391204</v>
      </c>
      <c r="D1196" s="8">
        <v>45289.482068391204</v>
      </c>
      <c r="E1196" s="9" t="s">
        <v>50</v>
      </c>
      <c r="F1196" s="9" t="s">
        <v>8</v>
      </c>
      <c r="G1196" s="9" t="s">
        <v>6</v>
      </c>
      <c r="H1196" s="9" t="s">
        <v>47</v>
      </c>
      <c r="I1196" s="9">
        <v>5</v>
      </c>
      <c r="J1196" s="9">
        <v>460</v>
      </c>
      <c r="K1196" s="10">
        <v>2300</v>
      </c>
      <c r="L1196" s="9">
        <f>HOUR([1]restaurant_sales_1200!$B1196)</f>
        <v>11</v>
      </c>
      <c r="M1196" s="9" t="str">
        <f t="shared" si="4"/>
        <v>Wednesday</v>
      </c>
    </row>
    <row r="1197" spans="1:13" x14ac:dyDescent="0.25">
      <c r="A1197" s="6">
        <v>2196</v>
      </c>
      <c r="B1197" s="7">
        <v>45289.785654710649</v>
      </c>
      <c r="C1197" s="7">
        <v>45289.785654710649</v>
      </c>
      <c r="D1197" s="8">
        <v>45289.785654710649</v>
      </c>
      <c r="E1197" s="9" t="s">
        <v>159</v>
      </c>
      <c r="F1197" s="9" t="s">
        <v>5</v>
      </c>
      <c r="G1197" s="9" t="s">
        <v>30</v>
      </c>
      <c r="H1197" s="9" t="s">
        <v>24</v>
      </c>
      <c r="I1197" s="9">
        <v>1</v>
      </c>
      <c r="J1197" s="9">
        <v>440</v>
      </c>
      <c r="K1197" s="10">
        <v>440</v>
      </c>
      <c r="L1197" s="9">
        <f>HOUR([1]restaurant_sales_1200!$B1197)</f>
        <v>18</v>
      </c>
      <c r="M1197" s="9" t="str">
        <f t="shared" si="4"/>
        <v>Thursday</v>
      </c>
    </row>
    <row r="1198" spans="1:13" x14ac:dyDescent="0.25">
      <c r="A1198" s="6">
        <v>2197</v>
      </c>
      <c r="B1198" s="7">
        <v>45290.089241030095</v>
      </c>
      <c r="C1198" s="7">
        <v>45290.089241030095</v>
      </c>
      <c r="D1198" s="8">
        <v>45290.089241030095</v>
      </c>
      <c r="E1198" s="9" t="s">
        <v>131</v>
      </c>
      <c r="F1198" s="9" t="s">
        <v>5</v>
      </c>
      <c r="G1198" s="9" t="s">
        <v>9</v>
      </c>
      <c r="H1198" s="9" t="s">
        <v>3</v>
      </c>
      <c r="I1198" s="9">
        <v>2</v>
      </c>
      <c r="J1198" s="9">
        <v>869</v>
      </c>
      <c r="K1198" s="10">
        <v>1738</v>
      </c>
      <c r="L1198" s="9">
        <f>HOUR([1]restaurant_sales_1200!$B1198)</f>
        <v>2</v>
      </c>
      <c r="M1198" s="9" t="str">
        <f t="shared" si="4"/>
        <v>Friday</v>
      </c>
    </row>
    <row r="1199" spans="1:13" x14ac:dyDescent="0.25">
      <c r="A1199" s="6">
        <v>2198</v>
      </c>
      <c r="B1199" s="7">
        <v>45290.392827361109</v>
      </c>
      <c r="C1199" s="7">
        <v>45290.392827361109</v>
      </c>
      <c r="D1199" s="8">
        <v>45290.392827361109</v>
      </c>
      <c r="E1199" s="9" t="s">
        <v>289</v>
      </c>
      <c r="F1199" s="9" t="s">
        <v>19</v>
      </c>
      <c r="G1199" s="9" t="s">
        <v>6</v>
      </c>
      <c r="H1199" s="9" t="s">
        <v>10</v>
      </c>
      <c r="I1199" s="9">
        <v>5</v>
      </c>
      <c r="J1199" s="9">
        <v>860</v>
      </c>
      <c r="K1199" s="10">
        <v>4300</v>
      </c>
      <c r="L1199" s="9">
        <f>HOUR([1]restaurant_sales_1200!$B1199)</f>
        <v>9</v>
      </c>
      <c r="M1199" s="9" t="str">
        <f t="shared" si="4"/>
        <v>Saturday</v>
      </c>
    </row>
    <row r="1200" spans="1:13" x14ac:dyDescent="0.25">
      <c r="A1200" s="6">
        <v>2199</v>
      </c>
      <c r="B1200" s="7">
        <v>45290.696413680555</v>
      </c>
      <c r="C1200" s="7">
        <v>45290.696413680555</v>
      </c>
      <c r="D1200" s="8">
        <v>45290.696413680555</v>
      </c>
      <c r="E1200" s="9" t="s">
        <v>245</v>
      </c>
      <c r="F1200" s="9" t="s">
        <v>19</v>
      </c>
      <c r="G1200" s="9" t="s">
        <v>15</v>
      </c>
      <c r="H1200" s="9" t="s">
        <v>20</v>
      </c>
      <c r="I1200" s="9">
        <v>4</v>
      </c>
      <c r="J1200" s="9">
        <v>548</v>
      </c>
      <c r="K1200" s="10">
        <v>2192</v>
      </c>
      <c r="L1200" s="9">
        <f>HOUR([1]restaurant_sales_1200!$B1200)</f>
        <v>16</v>
      </c>
      <c r="M1200" s="9" t="str">
        <f t="shared" si="4"/>
        <v>Sunday</v>
      </c>
    </row>
    <row r="1201" spans="1:13" x14ac:dyDescent="0.25">
      <c r="A1201" s="12">
        <v>2200</v>
      </c>
      <c r="B1201" s="13">
        <v>45291</v>
      </c>
      <c r="C1201" s="13">
        <v>45291</v>
      </c>
      <c r="D1201" s="14">
        <v>45291</v>
      </c>
      <c r="E1201" s="15" t="s">
        <v>52</v>
      </c>
      <c r="F1201" s="15" t="s">
        <v>19</v>
      </c>
      <c r="G1201" s="15" t="s">
        <v>30</v>
      </c>
      <c r="H1201" s="15" t="s">
        <v>26</v>
      </c>
      <c r="I1201" s="15">
        <v>2</v>
      </c>
      <c r="J1201" s="15">
        <v>942</v>
      </c>
      <c r="K1201" s="16">
        <v>1884</v>
      </c>
      <c r="L1201" s="15">
        <f>HOUR([1]restaurant_sales_1200!$B1201)</f>
        <v>0</v>
      </c>
      <c r="M1201" s="15" t="str">
        <f t="shared" si="4"/>
        <v>Monday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013AB-800D-4B05-B561-44DEC1F812B7}">
  <dimension ref="A1"/>
  <sheetViews>
    <sheetView showGridLines="0" tabSelected="1" zoomScaleNormal="100" workbookViewId="0">
      <selection activeCell="U6" sqref="U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ASDC23</dc:creator>
  <cp:lastModifiedBy>ASDC23</cp:lastModifiedBy>
  <dcterms:created xsi:type="dcterms:W3CDTF">2026-07-19T07:54:48Z</dcterms:created>
  <dcterms:modified xsi:type="dcterms:W3CDTF">2026-07-19T09:33:40Z</dcterms:modified>
</cp:coreProperties>
</file>